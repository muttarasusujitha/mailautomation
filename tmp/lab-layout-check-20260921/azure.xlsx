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Pla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ate Card" sheetId="3" state="visible" r:id="rId3"/>
    <sheet xmlns:r="http://schemas.openxmlformats.org/officeDocument/2006/relationships" name="TOC Mapping" sheetId="4" state="visible" r:id="rId4"/>
    <sheet xmlns:r="http://schemas.openxmlformats.org/officeDocument/2006/relationships" name="Resource Cost Breakdown" sheetId="5" state="visible" r:id="rId5"/>
    <sheet xmlns:r="http://schemas.openxmlformats.org/officeDocument/2006/relationships" name="Client Estimate" sheetId="6" state="visible" r:id="rId6"/>
  </sheets>
  <definedNames>
    <definedName name="_xlnm._FilterDatabase" localSheetId="0" hidden="1">'Lab Plan'!$A$6:$G$9</definedName>
    <definedName name="_xlnm.Print_Titles" localSheetId="0">'Lab Plan'!$1:$6</definedName>
    <definedName name="_xlnm.Print_Area" localSheetId="0">'Lab Plan'!$A$1:$G$32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;[Red](0.0%);-"/>
    <numFmt numFmtId="165" formatCode="$0.0000;[Red]($0.0000);-"/>
    <numFmt numFmtId="166" formatCode="₹#,##0.00;[Red](₹#,##0.00);-"/>
    <numFmt numFmtId="167" formatCode="yyyy-mm-dd"/>
    <numFmt numFmtId="168" formatCode="&quot;INR &quot;#,##0.00;[Red](&quot;INR &quot;#,##0.00);&quot;INR &quot;0.00"/>
  </numFmts>
  <fonts count="12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b val="1"/>
      <color rgb="001E293B"/>
      <sz val="11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000F766E"/>
      </patternFill>
    </fill>
    <fill>
      <patternFill patternType="solid">
        <fgColor rgb="0017365D"/>
      </patternFill>
    </fill>
    <fill>
      <patternFill patternType="solid">
        <fgColor rgb="00DCEFEA"/>
      </patternFill>
    </fill>
    <fill>
      <patternFill patternType="solid">
        <fgColor rgb="00F1F5F9"/>
      </patternFill>
    </fill>
  </fills>
  <borders count="2">
    <border/>
    <border/>
  </borders>
  <cellStyleXfs count="1">
    <xf numFmtId="0" fontId="0" fillId="0" borderId="1"/>
  </cellStyleXfs>
  <cellXfs count="10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0" fontId="9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168" fontId="10" fillId="9" borderId="0" applyAlignment="1" pivotButton="0" quotePrefix="0" xfId="0">
      <alignment vertical="top" wrapText="1"/>
    </xf>
    <xf numFmtId="168" fontId="10" fillId="0" borderId="0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live SKU rate supplied</t>
      </text>
    </comment>
    <comment ref="G32" authorId="0" shapeId="0">
      <text>
        <t>live SKU rate supplied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46" customWidth="1" min="3" max="3"/>
    <col width="30" customWidth="1" min="4" max="4"/>
    <col width="22" customWidth="1" min="5" max="5"/>
    <col width="12" customWidth="1" min="6" max="6"/>
    <col width="25" customWidth="1" min="7" max="7"/>
  </cols>
  <sheetData>
    <row r="1" ht="26" customHeight="1">
      <c r="A1" s="88" t="inlineStr">
        <is>
          <t>Training lab plan and cost estimate</t>
        </is>
      </c>
      <c r="B1" s="89" t="n"/>
      <c r="C1" s="89" t="n"/>
      <c r="D1" s="89" t="n"/>
      <c r="E1" s="89" t="n"/>
      <c r="F1" s="89" t="n"/>
      <c r="G1" s="89" t="n"/>
    </row>
    <row r="2" ht="34" customHeight="1">
      <c r="A2" s="90" t="inlineStr">
        <is>
          <t>Training</t>
        </is>
      </c>
      <c r="B2" s="91">
        <f>'Assumptions'!B4</f>
        <v/>
      </c>
      <c r="C2" s="91" t="n"/>
      <c r="D2" s="91" t="n"/>
      <c r="E2" s="91" t="n"/>
      <c r="F2" s="91" t="n"/>
      <c r="G2" s="91" t="n"/>
    </row>
    <row r="3" ht="34" customHeight="1">
      <c r="A3" s="90" t="inlineStr">
        <is>
          <t>Setup</t>
        </is>
      </c>
      <c r="B3" s="91">
        <f>'Assumptions'!B5&amp;" / "&amp;'Assumptions'!B6&amp;" | "&amp;'Assumptions'!B9&amp;" participants | "&amp;'Assumptions'!B7&amp;" lab hours/day | INR"</f>
        <v/>
      </c>
      <c r="C3" s="91" t="n"/>
      <c r="D3" s="91" t="n"/>
      <c r="E3" s="91" t="n"/>
      <c r="F3" s="91" t="n"/>
      <c r="G3" s="91" t="n"/>
    </row>
    <row r="4" ht="48" customHeight="1">
      <c r="A4" s="90" t="inlineStr">
        <is>
          <t>Estimate status</t>
        </is>
      </c>
      <c r="B4" s="91" t="inlineStr">
        <is>
          <t>Incomplete estimate - Verified cloud rates and FX; unresolved: local hardware/electricity, required licenses</t>
        </is>
      </c>
      <c r="C4" s="91" t="n"/>
      <c r="D4" s="91" t="n"/>
      <c r="E4" s="91" t="n"/>
      <c r="F4" s="91" t="n"/>
      <c r="G4" s="91" t="n"/>
    </row>
    <row r="5">
      <c r="A5" s="90" t="n"/>
      <c r="B5" s="90" t="n"/>
      <c r="C5" s="90" t="n"/>
      <c r="D5" s="90" t="n"/>
      <c r="E5" s="90" t="n"/>
      <c r="F5" s="90" t="n"/>
      <c r="G5" s="90" t="n"/>
    </row>
    <row r="6" ht="32" customHeight="1">
      <c r="A6" s="92" t="inlineStr">
        <is>
          <t>Day</t>
        </is>
      </c>
      <c r="B6" s="92" t="inlineStr">
        <is>
          <t>Topic</t>
        </is>
      </c>
      <c r="C6" s="92" t="inlineStr">
        <is>
          <t>Practical Lab</t>
        </is>
      </c>
      <c r="D6" s="92" t="inlineStr">
        <is>
          <t>Resources</t>
        </is>
      </c>
      <c r="E6" s="92" t="inlineStr">
        <is>
          <t>Qty (total)</t>
        </is>
      </c>
      <c r="F6" s="92" t="inlineStr">
        <is>
          <t>Hours</t>
        </is>
      </c>
      <c r="G6" s="92" t="inlineStr">
        <is>
          <t>Estimated Cost (INR)</t>
        </is>
      </c>
    </row>
    <row r="7" ht="150" customHeight="1">
      <c r="A7" s="93" t="inlineStr">
        <is>
          <t>1</t>
        </is>
      </c>
      <c r="B7" s="93">
        <f>'TOC Mapping'!B4&amp;CHAR(10)&amp;"Setup: "&amp;IF(SUM('TOC Mapping'!C4,'TOC Mapping'!E4:H4)=0,"Setup unconfirmed - no cloud resources",IF('TOC Mapping'!C4='Assumptions'!$B$9,IF(SUM('TOC Mapping'!E4:H4)&gt;0,"Individual + shared (assumed)","Individual (assumed)"),"Shared (assumed)"))</f>
        <v/>
      </c>
      <c r="C7" s="93" t="inlineStr">
        <is>
          <t>Practice shell commands and file permissions</t>
        </is>
      </c>
      <c r="D7" s="93">
        <f>IF(SUM('TOC Mapping'!C4,'TOC Mapping'!E4:H4)=0,"No mapped cloud resources",IF('TOC Mapping'!C4&gt;0,IF('TOC Mapping'!D4="Heavy","Heavy VM / SKU unconfirmed / vCPU unconfirmed / RAM unconfirmed","Light VM / SKU unconfirmed / vCPU unconfirmed / RAM unconfirmed")&amp;CHAR(10),"")&amp;IF('TOC Mapping'!E4&gt;0,"Kubernetes control plane"&amp;CHAR(10),"")&amp;IF('TOC Mapping'!F4&gt;0,"Kubernetes workers"&amp;CHAR(10),"")&amp;IF('TOC Mapping'!G4&gt;0,"Managed database"&amp;CHAR(10),"")&amp;IF('TOC Mapping'!H4&gt;0,"Object storage"&amp;CHAR(10),"")&amp;IF(('TOC Mapping'!C4+'TOC Mapping'!F4)&gt;0,"Attached disks",""))</f>
        <v/>
      </c>
      <c r="E7" s="93">
        <f>IF(SUM('TOC Mapping'!C4,'TOC Mapping'!E4:H4)=0,"None mapped",IF('TOC Mapping'!C4&gt;0,'TOC Mapping'!C4&amp;" VMs"&amp;CHAR(10),"")&amp;IF('TOC Mapping'!E4&gt;0,'TOC Mapping'!E4&amp;" clusters"&amp;CHAR(10),"")&amp;IF('TOC Mapping'!F4&gt;0,'TOC Mapping'!F4&amp;" nodes"&amp;CHAR(10),"")&amp;IF('TOC Mapping'!G4&gt;0,'TOC Mapping'!G4&amp;" instances"&amp;CHAR(10),"")&amp;IF('TOC Mapping'!H4&gt;0,'TOC Mapping'!H4&amp;" GB"&amp;CHAR(10),"")&amp;IF(('TOC Mapping'!C4+'TOC Mapping'!F4)&gt;0,('TOC Mapping'!C4+'TOC Mapping'!F4)*'Assumptions'!$B$20&amp;" GB",""))</f>
        <v/>
      </c>
      <c r="F7" s="93">
        <f>'TOC Mapping'!I4*'Assumptions'!$B$7</f>
        <v/>
      </c>
      <c r="G7" s="94">
        <f>('TOC Mapping'!C4*IF('TOC Mapping'!D4="Heavy",'Rate Card'!$F$32,'Rate Card'!$F$31)+'TOC Mapping'!E4*'Resource Cost Breakdown'!$D$5+'TOC Mapping'!F4*'Resource Cost Breakdown'!$D$6+'TOC Mapping'!G4*'Resource Cost Breakdown'!$D$11)*F7+(('TOC Mapping'!C4+'TOC Mapping'!F4)*'Assumptions'!$B$20*'Resource Cost Breakdown'!$D$7+'TOC Mapping'!H4*'Resource Cost Breakdown'!$D$8)*'TOC Mapping'!I4/30</f>
        <v/>
      </c>
    </row>
    <row r="8" ht="150" customHeight="1">
      <c r="A8" s="90" t="inlineStr">
        <is>
          <t>2-3</t>
        </is>
      </c>
      <c r="B8" s="90">
        <f>'TOC Mapping'!B5&amp;CHAR(10)&amp;"Setup: "&amp;IF(SUM('TOC Mapping'!C5,'TOC Mapping'!E5:H5)=0,"Setup unconfirmed - no cloud resources",IF('TOC Mapping'!C5='Assumptions'!$B$9,IF(SUM('TOC Mapping'!E5:H5)&gt;0,"Individual + shared (assumed)","Individual (assumed)"),"Shared (assumed)"))</f>
        <v/>
      </c>
      <c r="C8" s="90" t="inlineStr">
        <is>
          <t>Deploy and troubleshoot a sample service</t>
        </is>
      </c>
      <c r="D8" s="90">
        <f>IF(SUM('TOC Mapping'!C5,'TOC Mapping'!E5:H5)=0,"No mapped cloud resources",IF('TOC Mapping'!C5&gt;0,IF('TOC Mapping'!D5="Heavy","Heavy VM / SKU unconfirmed / vCPU unconfirmed / RAM unconfirmed","Light VM / SKU unconfirmed / vCPU unconfirmed / RAM unconfirmed")&amp;CHAR(10),"")&amp;IF('TOC Mapping'!E5&gt;0,"Kubernetes control plane"&amp;CHAR(10),"")&amp;IF('TOC Mapping'!F5&gt;0,"Kubernetes workers"&amp;CHAR(10),"")&amp;IF('TOC Mapping'!G5&gt;0,"Managed database"&amp;CHAR(10),"")&amp;IF('TOC Mapping'!H5&gt;0,"Object storage"&amp;CHAR(10),"")&amp;IF(('TOC Mapping'!C5+'TOC Mapping'!F5)&gt;0,"Attached disks",""))</f>
        <v/>
      </c>
      <c r="E8" s="90">
        <f>IF(SUM('TOC Mapping'!C5,'TOC Mapping'!E5:H5)=0,"None mapped",IF('TOC Mapping'!C5&gt;0,'TOC Mapping'!C5&amp;" VMs"&amp;CHAR(10),"")&amp;IF('TOC Mapping'!E5&gt;0,'TOC Mapping'!E5&amp;" clusters"&amp;CHAR(10),"")&amp;IF('TOC Mapping'!F5&gt;0,'TOC Mapping'!F5&amp;" nodes"&amp;CHAR(10),"")&amp;IF('TOC Mapping'!G5&gt;0,'TOC Mapping'!G5&amp;" instances"&amp;CHAR(10),"")&amp;IF('TOC Mapping'!H5&gt;0,'TOC Mapping'!H5&amp;" GB"&amp;CHAR(10),"")&amp;IF(('TOC Mapping'!C5+'TOC Mapping'!F5)&gt;0,('TOC Mapping'!C5+'TOC Mapping'!F5)*'Assumptions'!$B$20&amp;" GB",""))</f>
        <v/>
      </c>
      <c r="F8" s="90">
        <f>'TOC Mapping'!I5*'Assumptions'!$B$7</f>
        <v/>
      </c>
      <c r="G8" s="95">
        <f>('TOC Mapping'!C5*IF('TOC Mapping'!D5="Heavy",'Rate Card'!$F$32,'Rate Card'!$F$31)+'TOC Mapping'!E5*'Resource Cost Breakdown'!$D$5+'TOC Mapping'!F5*'Resource Cost Breakdown'!$D$6+'TOC Mapping'!G5*'Resource Cost Breakdown'!$D$11)*F8+(('TOC Mapping'!C5+'TOC Mapping'!F5)*'Assumptions'!$B$20*'Resource Cost Breakdown'!$D$7+'TOC Mapping'!H5*'Resource Cost Breakdown'!$D$8)*'TOC Mapping'!I5/30</f>
        <v/>
      </c>
    </row>
    <row r="9" ht="150" customHeight="1">
      <c r="A9" s="93" t="inlineStr">
        <is>
          <t>4</t>
        </is>
      </c>
      <c r="B9" s="93">
        <f>'TOC Mapping'!B6&amp;CHAR(10)&amp;"Setup: "&amp;IF(SUM('TOC Mapping'!C6,'TOC Mapping'!E6:H6)=0,"Setup unconfirmed - no cloud resources",IF('TOC Mapping'!C6='Assumptions'!$B$9,IF(SUM('TOC Mapping'!E6:H6)&gt;0,"Individual + shared (assumed)","Individual (assumed)"),"Shared (assumed)"))</f>
        <v/>
      </c>
      <c r="C9" s="93" t="inlineStr">
        <is>
          <t>=1+1</t>
        </is>
      </c>
      <c r="D9" s="93">
        <f>IF(SUM('TOC Mapping'!C6,'TOC Mapping'!E6:H6)=0,"No mapped cloud resources",IF('TOC Mapping'!C6&gt;0,IF('TOC Mapping'!D6="Heavy","Heavy VM / SKU unconfirmed / vCPU unconfirmed / RAM unconfirmed","Light VM / SKU unconfirmed / vCPU unconfirmed / RAM unconfirmed")&amp;CHAR(10),"")&amp;IF('TOC Mapping'!E6&gt;0,"Kubernetes control plane"&amp;CHAR(10),"")&amp;IF('TOC Mapping'!F6&gt;0,"Kubernetes workers"&amp;CHAR(10),"")&amp;IF('TOC Mapping'!G6&gt;0,"Managed database"&amp;CHAR(10),"")&amp;IF('TOC Mapping'!H6&gt;0,"Object storage"&amp;CHAR(10),"")&amp;IF(('TOC Mapping'!C6+'TOC Mapping'!F6)&gt;0,"Attached disks",""))</f>
        <v/>
      </c>
      <c r="E9" s="93">
        <f>IF(SUM('TOC Mapping'!C6,'TOC Mapping'!E6:H6)=0,"None mapped",IF('TOC Mapping'!C6&gt;0,'TOC Mapping'!C6&amp;" VMs"&amp;CHAR(10),"")&amp;IF('TOC Mapping'!E6&gt;0,'TOC Mapping'!E6&amp;" clusters"&amp;CHAR(10),"")&amp;IF('TOC Mapping'!F6&gt;0,'TOC Mapping'!F6&amp;" nodes"&amp;CHAR(10),"")&amp;IF('TOC Mapping'!G6&gt;0,'TOC Mapping'!G6&amp;" instances"&amp;CHAR(10),"")&amp;IF('TOC Mapping'!H6&gt;0,'TOC Mapping'!H6&amp;" GB"&amp;CHAR(10),"")&amp;IF(('TOC Mapping'!C6+'TOC Mapping'!F6)&gt;0,('TOC Mapping'!C6+'TOC Mapping'!F6)*'Assumptions'!$B$20&amp;" GB",""))</f>
        <v/>
      </c>
      <c r="F9" s="93">
        <f>'TOC Mapping'!I6*'Assumptions'!$B$7</f>
        <v/>
      </c>
      <c r="G9" s="94">
        <f>('TOC Mapping'!C6*IF('TOC Mapping'!D6="Heavy",'Rate Card'!$F$32,'Rate Card'!$F$31)+'TOC Mapping'!E6*'Resource Cost Breakdown'!$D$5+'TOC Mapping'!F6*'Resource Cost Breakdown'!$D$6+'TOC Mapping'!G6*'Resource Cost Breakdown'!$D$11)*F9+(('TOC Mapping'!C6+'TOC Mapping'!F6)*'Assumptions'!$B$20*'Resource Cost Breakdown'!$D$7+'TOC Mapping'!H6*'Resource Cost Breakdown'!$D$8)*'TOC Mapping'!I6/30</f>
        <v/>
      </c>
    </row>
    <row r="10">
      <c r="A10" s="91" t="inlineStr">
        <is>
          <t>Day-wise cloud infrastructure subtotal</t>
        </is>
      </c>
      <c r="B10" s="91" t="n"/>
      <c r="C10" s="91" t="n"/>
      <c r="D10" s="91" t="n"/>
      <c r="E10" s="91" t="n"/>
      <c r="F10" s="91" t="n"/>
      <c r="G10" s="95">
        <f>SUM(G7:G9)</f>
        <v/>
      </c>
    </row>
    <row r="11">
      <c r="A11" s="91" t="inlineStr">
        <is>
          <t>Shared course usage: egress, build runner, monitoring</t>
        </is>
      </c>
      <c r="B11" s="91" t="n"/>
      <c r="C11" s="91" t="n"/>
      <c r="D11" s="91" t="n"/>
      <c r="E11" s="91" t="n"/>
      <c r="F11" s="91" t="n"/>
      <c r="G11" s="95">
        <f>SUM('Resource Cost Breakdown'!H9:H10)+'Resource Cost Breakdown'!H12</f>
        <v/>
      </c>
    </row>
    <row r="12">
      <c r="A12" s="90" t="n"/>
      <c r="B12" s="90" t="n"/>
      <c r="C12" s="90" t="n"/>
      <c r="D12" s="90" t="n"/>
      <c r="E12" s="90" t="n"/>
      <c r="F12" s="90" t="n"/>
      <c r="G12" s="90" t="n"/>
    </row>
    <row r="13" ht="26" customHeight="1">
      <c r="A13" s="96" t="inlineStr">
        <is>
          <t>Cost summary</t>
        </is>
      </c>
      <c r="B13" s="89" t="n"/>
      <c r="C13" s="89" t="n"/>
      <c r="D13" s="89" t="n"/>
      <c r="E13" s="89" t="n"/>
      <c r="F13" s="89" t="n"/>
      <c r="G13" s="89" t="n"/>
    </row>
    <row r="14">
      <c r="A14" s="91" t="inlineStr">
        <is>
          <t>Cloud infrastructure cost</t>
        </is>
      </c>
      <c r="B14" s="91" t="n"/>
      <c r="C14" s="91" t="n"/>
      <c r="D14" s="91" t="n"/>
      <c r="E14" s="91" t="n"/>
      <c r="F14" s="91" t="n"/>
      <c r="G14" s="95">
        <f>'Client Estimate'!B8</f>
        <v/>
      </c>
    </row>
    <row r="15">
      <c r="A15" s="91" t="inlineStr">
        <is>
          <t>Support</t>
        </is>
      </c>
      <c r="B15" s="91" t="n"/>
      <c r="C15" s="91" t="n"/>
      <c r="D15" s="91" t="n"/>
      <c r="E15" s="91" t="n"/>
      <c r="F15" s="91" t="n"/>
      <c r="G15" s="95">
        <f>'Client Estimate'!B9</f>
        <v/>
      </c>
    </row>
    <row r="16">
      <c r="A16" s="91" t="inlineStr">
        <is>
          <t>Contingency</t>
        </is>
      </c>
      <c r="B16" s="91" t="n"/>
      <c r="C16" s="91" t="n"/>
      <c r="D16" s="91" t="n"/>
      <c r="E16" s="91" t="n"/>
      <c r="F16" s="91" t="n"/>
      <c r="G16" s="95">
        <f>'Client Estimate'!B10</f>
        <v/>
      </c>
    </row>
    <row r="17">
      <c r="A17" s="91" t="inlineStr">
        <is>
          <t>Tax / GST</t>
        </is>
      </c>
      <c r="B17" s="91" t="n"/>
      <c r="C17" s="91" t="n"/>
      <c r="D17" s="91" t="n"/>
      <c r="E17" s="91" t="n"/>
      <c r="F17" s="91" t="n"/>
      <c r="G17" s="95">
        <f>'Client Estimate'!B11</f>
        <v/>
      </c>
    </row>
    <row r="18">
      <c r="A18" s="91" t="inlineStr">
        <is>
          <t>Service adjustment</t>
        </is>
      </c>
      <c r="B18" s="91" t="n"/>
      <c r="C18" s="91" t="n"/>
      <c r="D18" s="91" t="n"/>
      <c r="E18" s="91" t="n"/>
      <c r="F18" s="91" t="n"/>
      <c r="G18" s="95">
        <f>'Client Estimate'!B12-SUM('Client Estimate'!B8:B11)</f>
        <v/>
      </c>
    </row>
    <row r="19">
      <c r="A19" s="91" t="inlineStr">
        <is>
          <t>Priced lab subtotal - incomplete estimate</t>
        </is>
      </c>
      <c r="B19" s="91" t="n"/>
      <c r="C19" s="91" t="n"/>
      <c r="D19" s="91" t="n"/>
      <c r="E19" s="91" t="n"/>
      <c r="F19" s="91" t="n"/>
      <c r="G19" s="95">
        <f>'Client Estimate'!B12</f>
        <v/>
      </c>
    </row>
    <row r="20">
      <c r="A20" s="91" t="inlineStr">
        <is>
          <t>Priced subtotal per participant</t>
        </is>
      </c>
      <c r="B20" s="91" t="n"/>
      <c r="C20" s="91" t="n"/>
      <c r="D20" s="91" t="n"/>
      <c r="E20" s="91" t="n"/>
      <c r="F20" s="91" t="n"/>
      <c r="G20" s="95">
        <f>'Client Estimate'!B13</f>
        <v/>
      </c>
    </row>
    <row r="21" ht="34" customHeight="1">
      <c r="A21" s="90" t="inlineStr">
        <is>
          <t>Local / licenses</t>
        </is>
      </c>
      <c r="B21" s="91" t="inlineStr">
        <is>
          <t>Unverified / excluded: local hardware/electricity, required licenses. All-in total is incomplete.</t>
        </is>
      </c>
      <c r="C21" s="91" t="n"/>
      <c r="D21" s="91" t="n"/>
      <c r="E21" s="91" t="n"/>
      <c r="F21" s="91" t="n"/>
      <c r="G21" s="91" t="n"/>
    </row>
    <row r="22">
      <c r="A22" s="90" t="n"/>
      <c r="B22" s="90" t="n"/>
      <c r="C22" s="90" t="n"/>
      <c r="D22" s="90" t="n"/>
      <c r="E22" s="90" t="n"/>
      <c r="F22" s="90" t="n"/>
      <c r="G22" s="90" t="n"/>
    </row>
    <row r="23" ht="26" customHeight="1">
      <c r="A23" s="96" t="inlineStr">
        <is>
          <t>Key assumptions and pricing sources</t>
        </is>
      </c>
      <c r="B23" s="89" t="n"/>
      <c r="C23" s="89" t="n"/>
      <c r="D23" s="89" t="n"/>
      <c r="E23" s="89" t="n"/>
      <c r="F23" s="89" t="n"/>
      <c r="G23" s="89" t="n"/>
    </row>
    <row r="24" ht="44" customHeight="1">
      <c r="A24" s="90" t="inlineStr">
        <is>
          <t>Resource setup</t>
        </is>
      </c>
      <c r="B24" s="91" t="inlineStr">
        <is>
          <t>Quantities are total provisioned resources from TOC Mapping; confirm individual versus shared setup.</t>
        </is>
      </c>
      <c r="C24" s="91" t="n"/>
      <c r="D24" s="91" t="n"/>
      <c r="E24" s="91" t="n"/>
      <c r="F24" s="91" t="n"/>
      <c r="G24" s="91" t="n"/>
    </row>
    <row r="25" ht="48" customHeight="1">
      <c r="A25" s="90" t="inlineStr">
        <is>
          <t>Billing</t>
        </is>
      </c>
      <c r="B25" s="91" t="inlineStr">
        <is>
          <t>Hours are per-resource lab runtime for each TOC entry. Disks and object storage accrue for active days, prorated over 30 days. Extra idle runtime and retention beyond active days are excluded; confirm shutdown/deletion.</t>
        </is>
      </c>
      <c r="C25" s="91" t="n"/>
      <c r="D25" s="91" t="n"/>
      <c r="E25" s="91" t="n"/>
      <c r="F25" s="91" t="n"/>
      <c r="G25" s="91" t="n"/>
    </row>
    <row r="26" ht="48" customHeight="1">
      <c r="A26" s="90" t="inlineStr">
        <is>
          <t>Cost basis</t>
        </is>
      </c>
      <c r="B26" s="91" t="inlineStr">
        <is>
          <t>Daily costs show cloud infrastructure only. Course-wide egress, build and monitoring are charged once in the separate shared-usage row. Support, contingency, tax and the existing service adjustment appear in the summary.</t>
        </is>
      </c>
      <c r="C26" s="91" t="n"/>
      <c r="D26" s="91" t="n"/>
      <c r="E26" s="91" t="n"/>
      <c r="F26" s="91" t="n"/>
      <c r="G26" s="91" t="n"/>
    </row>
    <row r="27" ht="34" customHeight="1">
      <c r="A27" s="90" t="inlineStr">
        <is>
          <t>Applied assumptions</t>
        </is>
      </c>
      <c r="B27" s="91">
        <f>"Contingency: "&amp;TEXT('Assumptions'!B16,"0.0%")&amp;"; tax: "&amp;TEXT('Assumptions'!B17,"0.0%")&amp;". Review configured/default percentages and support before approval."</f>
        <v/>
      </c>
      <c r="C27" s="91" t="n"/>
      <c r="D27" s="91" t="n"/>
      <c r="E27" s="91" t="n"/>
      <c r="F27" s="91" t="n"/>
      <c r="G27" s="91" t="n"/>
    </row>
    <row r="28" ht="44" customHeight="1">
      <c r="A28" s="90" t="inlineStr">
        <is>
          <t>Excluded costs</t>
        </is>
      </c>
      <c r="B28" s="91" t="inlineStr">
        <is>
          <t>Unmapped services, local hardware, electricity and unpriced licenses are excluded. A complete all-in total requires these costs or confirmation that they are already covered.</t>
        </is>
      </c>
      <c r="C28" s="91" t="n"/>
      <c r="D28" s="91" t="n"/>
      <c r="E28" s="91" t="n"/>
      <c r="F28" s="91" t="n"/>
      <c r="G28" s="91" t="n"/>
    </row>
    <row r="29" ht="34" customHeight="1">
      <c r="A29" s="90" t="inlineStr">
        <is>
          <t>Provider sources</t>
        </is>
      </c>
      <c r="B29" s="91" t="inlineStr">
        <is>
          <t>https://example.com/test-only</t>
        </is>
      </c>
      <c r="C29" s="91" t="n"/>
      <c r="D29" s="91" t="n"/>
      <c r="E29" s="91" t="n"/>
      <c r="F29" s="91" t="n"/>
      <c r="G29" s="91" t="n"/>
    </row>
    <row r="30" ht="34" customHeight="1">
      <c r="A30" s="90" t="inlineStr">
        <is>
          <t>Verified at (UTC)</t>
        </is>
      </c>
      <c r="B30" s="91" t="inlineStr">
        <is>
          <t>2026-09-21T00:00:00+00:00</t>
        </is>
      </c>
      <c r="C30" s="91" t="n"/>
      <c r="D30" s="91" t="n"/>
      <c r="E30" s="91" t="n"/>
      <c r="F30" s="91" t="n"/>
      <c r="G30" s="91" t="n"/>
    </row>
    <row r="31" ht="34" customHeight="1">
      <c r="A31" s="90" t="inlineStr">
        <is>
          <t>FX source / date</t>
        </is>
      </c>
      <c r="B31" s="91" t="inlineStr">
        <is>
          <t>https://example.com/test-only-fx | 2026-09-21</t>
        </is>
      </c>
      <c r="C31" s="91" t="n"/>
      <c r="D31" s="91" t="n"/>
      <c r="E31" s="91" t="n"/>
      <c r="F31" s="91" t="n"/>
      <c r="G31" s="91" t="n"/>
    </row>
    <row r="32" ht="44" customHeight="1">
      <c r="A32" s="90" t="inlineStr">
        <is>
          <t>Audit detail</t>
        </is>
      </c>
      <c r="B32" s="91" t="inlineStr">
        <is>
          <t>Resource rates, units and sources: Rate Card and Live Price Check (when present). Editable quantities: TOC Mapping. Calculations: Resource Cost Breakdown and Client Estimate.</t>
        </is>
      </c>
      <c r="C32" s="91" t="n"/>
      <c r="D32" s="91" t="n"/>
      <c r="E32" s="91" t="n"/>
      <c r="F32" s="91" t="n"/>
      <c r="G32" s="91" t="n"/>
    </row>
  </sheetData>
  <autoFilter ref="A6:G9"/>
  <mergeCells count="25">
    <mergeCell ref="B2:G2"/>
    <mergeCell ref="A16:F16"/>
    <mergeCell ref="A18:F18"/>
    <mergeCell ref="B29:G29"/>
    <mergeCell ref="A13:G13"/>
    <mergeCell ref="B28:G28"/>
    <mergeCell ref="A14:F14"/>
    <mergeCell ref="A17:F17"/>
    <mergeCell ref="A20:F20"/>
    <mergeCell ref="B30:G30"/>
    <mergeCell ref="B24:G24"/>
    <mergeCell ref="A10:F10"/>
    <mergeCell ref="A1:G1"/>
    <mergeCell ref="A19:F19"/>
    <mergeCell ref="B32:G32"/>
    <mergeCell ref="B4:G4"/>
    <mergeCell ref="B26:G26"/>
    <mergeCell ref="A15:F15"/>
    <mergeCell ref="B25:G25"/>
    <mergeCell ref="B3:G3"/>
    <mergeCell ref="A11:F11"/>
    <mergeCell ref="B31:G31"/>
    <mergeCell ref="B27:G27"/>
    <mergeCell ref="B21:G21"/>
    <mergeCell ref="A23:G2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0"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TEST FIXTURE - NOT A CLIENT QUOTE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Azure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Central India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4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10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90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97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97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IF(AND(B18="Standard",B9*B8&gt;=B22),"Advanced",B18)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Live profile rates supplied</t>
        </is>
      </c>
      <c r="C27" s="29" t="inlineStr">
        <is>
          <t>2026-09-21</t>
        </is>
      </c>
      <c r="D27" s="29" t="inlineStr">
        <is>
          <t>Enter vm_profile_rates and vm_profile_sources with current provider URLs before final client approval</t>
        </is>
      </c>
    </row>
    <row r="28">
      <c r="A28" s="30" t="inlineStr">
        <is>
          <t>Rate snapshot ID</t>
        </is>
      </c>
      <c r="B28" s="31" t="inlineStr">
        <is>
          <t>synthetic-test-fixture</t>
        </is>
      </c>
      <c r="C28" s="29" t="inlineStr">
        <is>
          <t>audit ID</t>
        </is>
      </c>
      <c r="D28" s="29" t="inlineStr">
        <is>
          <t>Use this ID to retrieve the rate snapshot and calculation record</t>
        </is>
      </c>
    </row>
    <row r="29">
      <c r="A29" s="30" t="inlineStr">
        <is>
          <t>Pricing status</t>
        </is>
      </c>
      <c r="B29" s="31" t="inlineStr">
        <is>
          <t>provider_api_verified_public_retail</t>
        </is>
      </c>
      <c r="C29" s="29" t="inlineStr">
        <is>
          <t>status</t>
        </is>
      </c>
      <c r="D29" s="29" t="inlineStr">
        <is>
          <t>Live SKU rates and official source URLs are required before final client approval</t>
        </is>
      </c>
    </row>
    <row r="30">
      <c r="A30" s="30" t="inlineStr">
        <is>
          <t>FX attribution</t>
        </is>
      </c>
      <c r="B30" s="31" t="inlineStr">
        <is>
          <t>Not supplied</t>
        </is>
      </c>
      <c r="C30" s="29" t="inlineStr">
        <is>
          <t>URL</t>
        </is>
      </c>
      <c r="D30" s="29" t="inlineStr">
        <is>
          <t>Exchange-rate data provider</t>
        </is>
      </c>
    </row>
    <row r="31">
      <c r="A31" s="30" t="inlineStr">
        <is>
          <t>USD/INR source</t>
        </is>
      </c>
      <c r="B31" s="31" t="inlineStr">
        <is>
          <t>https://example.com/test-only-fx</t>
        </is>
      </c>
      <c r="C31" s="29" t="inlineStr">
        <is>
          <t>URL</t>
        </is>
      </c>
      <c r="D31" s="29" t="inlineStr">
        <is>
          <t>Published exchange-rate source</t>
        </is>
      </c>
    </row>
    <row r="32">
      <c r="A32" s="30" t="inlineStr">
        <is>
          <t>USD/INR observation date</t>
        </is>
      </c>
      <c r="B32" s="31" t="inlineStr">
        <is>
          <t>2026-09-21</t>
        </is>
      </c>
      <c r="C32" s="29" t="inlineStr">
        <is>
          <t>date</t>
        </is>
      </c>
      <c r="D32" s="29" t="inlineStr">
        <is>
          <t>Provider observation date</t>
        </is>
      </c>
    </row>
    <row r="33">
      <c r="A33" s="30" t="inlineStr">
        <is>
          <t>USD/INR checked at</t>
        </is>
      </c>
      <c r="B33" s="31" t="inlineStr">
        <is>
          <t>Not supplied</t>
        </is>
      </c>
      <c r="C33" s="29" t="inlineStr">
        <is>
          <t>timestamp</t>
        </is>
      </c>
      <c r="D33" s="29" t="inlineStr">
        <is>
          <t>Lookup for this quote</t>
        </is>
      </c>
    </row>
    <row r="34">
      <c r="A34" s="30" t="inlineStr">
        <is>
          <t>Rate source</t>
        </is>
      </c>
      <c r="B34" s="31" t="inlineStr">
        <is>
          <t>https://example.com/test-only</t>
        </is>
      </c>
      <c r="C34" s="29" t="inlineStr">
        <is>
          <t>URL</t>
        </is>
      </c>
      <c r="D34" s="29" t="inlineStr">
        <is>
          <t>Official provider pricing page or approved pricing-export URL</t>
        </is>
      </c>
    </row>
    <row r="35">
      <c r="A35" s="30" t="inlineStr">
        <is>
          <t>Rates checked at (UTC)</t>
        </is>
      </c>
      <c r="B35" s="31" t="inlineStr">
        <is>
          <t>2026-09-21T00:00:00+00:00</t>
        </is>
      </c>
      <c r="C35" s="29" t="inlineStr">
        <is>
          <t>timestamp</t>
        </is>
      </c>
      <c r="D35" s="29" t="inlineStr">
        <is>
          <t>Rate snapshot timestamp</t>
        </is>
      </c>
    </row>
    <row r="36">
      <c r="A36" s="30" t="inlineStr">
        <is>
          <t>Quote valid until (UTC)</t>
        </is>
      </c>
      <c r="B36" s="31" t="inlineStr">
        <is>
          <t>Not recorded</t>
        </is>
      </c>
      <c r="C36" s="29" t="inlineStr">
        <is>
          <t>timestamp</t>
        </is>
      </c>
      <c r="D36" s="29" t="inlineStr">
        <is>
          <t>Recalculate from current rates after this time</t>
        </is>
      </c>
    </row>
    <row r="37">
      <c r="A37" s="30" t="inlineStr">
        <is>
          <t>Price-change review threshold</t>
        </is>
      </c>
      <c r="B37" s="31" t="n">
        <v>5</v>
      </c>
      <c r="C37" s="29" t="inlineStr">
        <is>
          <t>%</t>
        </is>
      </c>
      <c r="D37" s="29" t="inlineStr">
        <is>
          <t>Escalate for review when refreshed pricing changes beyond this threshold</t>
        </is>
      </c>
    </row>
    <row r="38">
      <c r="A38" s="30" t="inlineStr">
        <is>
          <t>Lab architecture</t>
        </is>
      </c>
      <c r="B38" s="31" t="inlineStr">
        <is>
          <t>Caller-supplied per-day resource mapping</t>
        </is>
      </c>
      <c r="C38" s="29" t="inlineStr">
        <is>
          <t>assumption</t>
        </is>
      </c>
      <c r="D38" s="29" t="inlineStr">
        <is>
          <t>Quantities are total resources; learner VMs scale with participants, shared services do not</t>
        </is>
      </c>
    </row>
    <row r="39">
      <c r="A39" s="30" t="inlineStr">
        <is>
          <t>FX status</t>
        </is>
      </c>
      <c r="B39" s="31" t="inlineStr">
        <is>
          <t>Published rate fetched for quote</t>
        </is>
      </c>
      <c r="C39" s="29" t="inlineStr">
        <is>
          <t>status</t>
        </is>
      </c>
      <c r="D39" s="29" t="inlineStr">
        <is>
          <t>Latest published observation; see FX date and source</t>
        </is>
      </c>
    </row>
    <row r="40">
      <c r="A40" s="30" t="inlineStr">
        <is>
          <t>Support pricing status</t>
        </is>
      </c>
      <c r="B40" s="31" t="inlineStr">
        <is>
          <t>Unconfigured / zero charge</t>
        </is>
      </c>
      <c r="C40" s="29" t="inlineStr">
        <is>
          <t>status</t>
        </is>
      </c>
      <c r="D40" s="29" t="inlineStr">
        <is>
          <t>No support price is invented. Confirm the applied tier rate before client approval</t>
        </is>
      </c>
    </row>
    <row r="41">
      <c r="A41" s="30" t="inlineStr">
        <is>
          <t>Quote approval status</t>
        </is>
      </c>
      <c r="B41" s="31" t="inlineStr">
        <is>
          <t>Draft — commercial review required</t>
        </is>
      </c>
      <c r="C41" s="29" t="inlineStr">
        <is>
          <t>status</t>
        </is>
      </c>
      <c r="D41" s="29" t="inlineStr">
        <is>
          <t>Provider verification covers selected resource rates only; confirm architecture, access hours, support, FX, taxes and exclusions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98" t="n"/>
      <c r="F4" s="99" t="n"/>
      <c r="G4" s="29" t="inlineStr">
        <is>
          <t>https://aws.amazon.com/ec2/pricing/</t>
        </is>
      </c>
      <c r="H4" s="100" t="inlineStr">
        <is>
          <t>Not priced for this quote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98" t="n"/>
      <c r="F5" s="99" t="n"/>
      <c r="G5" s="29" t="inlineStr">
        <is>
          <t>https://aws.amazon.com/eks/pricing/</t>
        </is>
      </c>
      <c r="H5" s="100" t="inlineStr">
        <is>
          <t>Not priced for this quote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98" t="n"/>
      <c r="F6" s="99" t="n"/>
      <c r="G6" s="29" t="inlineStr">
        <is>
          <t>https://aws.amazon.com/ec2/pricing/</t>
        </is>
      </c>
      <c r="H6" s="100" t="inlineStr">
        <is>
          <t>Not priced for this quote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98" t="n"/>
      <c r="F7" s="99" t="n"/>
      <c r="G7" s="29" t="inlineStr">
        <is>
          <t>https://aws.amazon.com/ebs/pricing/</t>
        </is>
      </c>
      <c r="H7" s="100" t="inlineStr">
        <is>
          <t>Not priced for this quote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98" t="n"/>
      <c r="F8" s="99" t="n"/>
      <c r="G8" s="29" t="inlineStr">
        <is>
          <t>https://aws.amazon.com/s3/pricing/</t>
        </is>
      </c>
      <c r="H8" s="100" t="inlineStr">
        <is>
          <t>Not priced for this quote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98" t="n"/>
      <c r="F9" s="99" t="n"/>
      <c r="G9" s="29" t="inlineStr">
        <is>
          <t>https://aws.amazon.com/ec2/pricing/on-demand/#Data_Transfer</t>
        </is>
      </c>
      <c r="H9" s="100" t="inlineStr">
        <is>
          <t>Not priced for this quote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98" t="n"/>
      <c r="F10" s="99" t="n"/>
      <c r="G10" s="29" t="inlineStr">
        <is>
          <t>https://aws.amazon.com/codebuild/pricing/</t>
        </is>
      </c>
      <c r="H10" s="100" t="inlineStr">
        <is>
          <t>Not priced for this quote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98" t="n"/>
      <c r="F11" s="99" t="n"/>
      <c r="G11" s="29" t="inlineStr">
        <is>
          <t>https://aws.amazon.com/rds/pricing/</t>
        </is>
      </c>
      <c r="H11" s="100" t="inlineStr">
        <is>
          <t>Not priced for this quote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98" t="n"/>
      <c r="F12" s="99" t="n"/>
      <c r="G12" s="29" t="inlineStr">
        <is>
          <t>https://aws.amazon.com/cloudwatch/pricing/</t>
        </is>
      </c>
      <c r="H12" s="100" t="inlineStr">
        <is>
          <t>Not priced for this quote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98" t="n">
        <v>0.055</v>
      </c>
      <c r="F13" s="99">
        <f>E13*'Assumptions'!$B$15</f>
        <v/>
      </c>
      <c r="G13" s="29" t="inlineStr">
        <is>
          <t>https://azure.microsoft.com/pricing/details/virtual-machines/</t>
        </is>
      </c>
      <c r="H13" s="100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98" t="n">
        <v>0.1</v>
      </c>
      <c r="F14" s="99">
        <f>E14*'Assumptions'!$B$15</f>
        <v/>
      </c>
      <c r="G14" s="29" t="inlineStr">
        <is>
          <t>https://azure.microsoft.com/pricing/details/kubernetes-service/</t>
        </is>
      </c>
      <c r="H14" s="100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98" t="n">
        <v>0.055</v>
      </c>
      <c r="F15" s="99">
        <f>E15*'Assumptions'!$B$15</f>
        <v/>
      </c>
      <c r="G15" s="29" t="inlineStr">
        <is>
          <t>https://azure.microsoft.com/pricing/details/virtual-machines/</t>
        </is>
      </c>
      <c r="H15" s="100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98" t="n">
        <v>0.09</v>
      </c>
      <c r="F16" s="99">
        <f>E16*'Assumptions'!$B$15</f>
        <v/>
      </c>
      <c r="G16" s="29" t="inlineStr">
        <is>
          <t>https://azure.microsoft.com/pricing/details/managed-disks/</t>
        </is>
      </c>
      <c r="H16" s="100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98" t="n">
        <v>0.02</v>
      </c>
      <c r="F17" s="99">
        <f>E17*'Assumptions'!$B$15</f>
        <v/>
      </c>
      <c r="G17" s="29" t="inlineStr">
        <is>
          <t>https://azure.microsoft.com/pricing/details/storage/blobs/</t>
        </is>
      </c>
      <c r="H17" s="100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98" t="n">
        <v>0.08699999999999999</v>
      </c>
      <c r="F18" s="99">
        <f>E18*'Assumptions'!$B$15</f>
        <v/>
      </c>
      <c r="G18" s="29" t="inlineStr">
        <is>
          <t>https://azure.microsoft.com/pricing/details/bandwidth/</t>
        </is>
      </c>
      <c r="H18" s="100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98" t="n">
        <v>0.008</v>
      </c>
      <c r="F19" s="99">
        <f>E19*'Assumptions'!$B$15</f>
        <v/>
      </c>
      <c r="G19" s="29" t="inlineStr">
        <is>
          <t>https://azure.microsoft.com/pricing/details/devops/azure-devops-services/</t>
        </is>
      </c>
      <c r="H19" s="100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98" t="n">
        <v>0.08500000000000001</v>
      </c>
      <c r="F20" s="99">
        <f>E20*'Assumptions'!$B$15</f>
        <v/>
      </c>
      <c r="G20" s="29" t="inlineStr">
        <is>
          <t>https://azure.microsoft.com/pricing/details/azure-sql-database/</t>
        </is>
      </c>
      <c r="H20" s="100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98" t="n">
        <v>0.5</v>
      </c>
      <c r="F21" s="99">
        <f>E21*'Assumptions'!$B$15</f>
        <v/>
      </c>
      <c r="G21" s="29" t="inlineStr">
        <is>
          <t>https://azure.microsoft.com/pricing/details/monitor/</t>
        </is>
      </c>
      <c r="H21" s="100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98" t="n"/>
      <c r="F22" s="99" t="n"/>
      <c r="G22" s="29" t="inlineStr">
        <is>
          <t>https://cloud.google.com/compute/vm-instance-pricing</t>
        </is>
      </c>
      <c r="H22" s="100" t="inlineStr">
        <is>
          <t>Not priced for this quote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98" t="n"/>
      <c r="F23" s="99" t="n"/>
      <c r="G23" s="29" t="inlineStr">
        <is>
          <t>https://cloud.google.com/kubernetes-engine/pricing</t>
        </is>
      </c>
      <c r="H23" s="100" t="inlineStr">
        <is>
          <t>Not priced for this quote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98" t="n"/>
      <c r="F24" s="99" t="n"/>
      <c r="G24" s="29" t="inlineStr">
        <is>
          <t>https://cloud.google.com/compute/vm-instance-pricing</t>
        </is>
      </c>
      <c r="H24" s="100" t="inlineStr">
        <is>
          <t>Not priced for this quote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98" t="n"/>
      <c r="F25" s="99" t="n"/>
      <c r="G25" s="29" t="inlineStr">
        <is>
          <t>https://cloud.google.com/compute/disks-image-pricing</t>
        </is>
      </c>
      <c r="H25" s="100" t="inlineStr">
        <is>
          <t>Not priced for this quote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98" t="n"/>
      <c r="F26" s="99" t="n"/>
      <c r="G26" s="29" t="inlineStr">
        <is>
          <t>https://cloud.google.com/storage/pricing</t>
        </is>
      </c>
      <c r="H26" s="100" t="inlineStr">
        <is>
          <t>Not priced for this quote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98" t="n"/>
      <c r="F27" s="99" t="n"/>
      <c r="G27" s="29" t="inlineStr">
        <is>
          <t>https://cloud.google.com/vpc/network-pricing</t>
        </is>
      </c>
      <c r="H27" s="100" t="inlineStr">
        <is>
          <t>Not priced for this quote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98" t="n"/>
      <c r="F28" s="99" t="n"/>
      <c r="G28" s="29" t="inlineStr">
        <is>
          <t>https://cloud.google.com/build/pricing</t>
        </is>
      </c>
      <c r="H28" s="100" t="inlineStr">
        <is>
          <t>Not priced for this quote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98" t="n"/>
      <c r="F29" s="99" t="n"/>
      <c r="G29" s="29" t="inlineStr">
        <is>
          <t>https://cloud.google.com/sql/pricing</t>
        </is>
      </c>
      <c r="H29" s="100" t="inlineStr">
        <is>
          <t>Not priced for this quote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98" t="n"/>
      <c r="F30" s="99" t="n"/>
      <c r="G30" s="29" t="inlineStr">
        <is>
          <t>https://cloud.google.com/stackdriver/pricing</t>
        </is>
      </c>
      <c r="H30" s="100" t="inlineStr">
        <is>
          <t>Not priced for this quote</t>
        </is>
      </c>
    </row>
    <row r="31">
      <c r="A31" s="29" t="inlineStr">
        <is>
          <t>Azure</t>
        </is>
      </c>
      <c r="B31" s="29" t="inlineStr">
        <is>
          <t>Central India</t>
        </is>
      </c>
      <c r="C31" s="29" t="inlineStr">
        <is>
          <t>VM Light</t>
        </is>
      </c>
      <c r="D31" s="29" t="inlineStr">
        <is>
          <t>per hour</t>
        </is>
      </c>
      <c r="E31" s="98" t="n">
        <v>0.05</v>
      </c>
      <c r="F31" s="99">
        <f>E31*'Assumptions'!$B$15</f>
        <v/>
      </c>
      <c r="G31" s="29" t="inlineStr">
        <is>
          <t>https://example.com/test</t>
        </is>
      </c>
      <c r="H31" s="100" t="inlineStr">
        <is>
          <t>2026-09-21</t>
        </is>
      </c>
    </row>
    <row r="32">
      <c r="A32" s="29" t="inlineStr">
        <is>
          <t>Azure</t>
        </is>
      </c>
      <c r="B32" s="29" t="inlineStr">
        <is>
          <t>Central India</t>
        </is>
      </c>
      <c r="C32" s="29" t="inlineStr">
        <is>
          <t>VM Heavy</t>
        </is>
      </c>
      <c r="D32" s="29" t="inlineStr">
        <is>
          <t>per hour</t>
        </is>
      </c>
      <c r="E32" s="98" t="n">
        <v>0.2</v>
      </c>
      <c r="F32" s="99">
        <f>E32*'Assumptions'!$B$15</f>
        <v/>
      </c>
      <c r="G32" s="29" t="inlineStr">
        <is>
          <t>https://example.com/test</t>
        </is>
      </c>
      <c r="H32" s="100" t="inlineStr">
        <is>
          <t>2026-09-21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Linux</t>
        </is>
      </c>
      <c r="C4" t="n">
        <v>10</v>
      </c>
      <c r="D4" t="inlineStr">
        <is>
          <t>Light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Kubernetes</t>
        </is>
      </c>
      <c r="C5" t="n">
        <v>10</v>
      </c>
      <c r="D5" t="inlineStr">
        <is>
          <t>Heavy</t>
        </is>
      </c>
      <c r="E5" t="n">
        <v>1</v>
      </c>
      <c r="F5" t="n">
        <v>2</v>
      </c>
      <c r="G5" t="n">
        <v>1</v>
      </c>
      <c r="H5" t="n">
        <v>12</v>
      </c>
      <c r="I5" t="n">
        <v>2</v>
      </c>
    </row>
    <row r="6">
      <c r="A6" t="n">
        <v>3</v>
      </c>
      <c r="B6" t="inlineStr">
        <is>
          <t>Local Docker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8">
      <c r="A8" s="57" t="inlineStr">
        <is>
          <t>Mapping note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</sheetData>
  <mergeCells count="3">
    <mergeCell ref="A1:H1"/>
    <mergeCell ref="A8:I8"/>
    <mergeCell ref="A9:I1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Mapping'!$C$4:$C$6,'TOC Mapping'!$I$4:$I$6)</f>
        <v/>
      </c>
      <c r="C4" s="29" t="inlineStr">
        <is>
          <t>per hour</t>
        </is>
      </c>
      <c r="D4" s="99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101">
        <f>(SUMPRODUCT('TOC Mapping'!$C$4:$C$6,'TOC Mapping'!$I$4:$I$6,--('TOC Mapping'!$D$4:$D$6="Light"))*'Rate Card'!$F$31+SUMPRODUCT('TOC Mapping'!$C$4:$C$6,'TOC Mapping'!$I$4:$I$6,--('TOC Mapping'!$D$4:$D$6="Heavy"))*'Rate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Mapping'!$E$4:$E$6,'TOC Mapping'!$I$4:$I$6)</f>
        <v/>
      </c>
      <c r="C5" s="29" t="inlineStr">
        <is>
          <t>per cluster-hour</t>
        </is>
      </c>
      <c r="D5" s="99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101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Mapping'!$F$4:$F$6,'TOC Mapping'!$I$4:$I$6)</f>
        <v/>
      </c>
      <c r="C6" s="29" t="inlineStr">
        <is>
          <t>per VM-hour</t>
        </is>
      </c>
      <c r="D6" s="99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101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Mapping'!$C$4:$C$6+'TOC Mapping'!$F$4:$F$6),'TOC Mapping'!$I$4:$I$6)*'Assumptions'!$B$20/30</f>
        <v/>
      </c>
      <c r="C7" s="29" t="inlineStr">
        <is>
          <t>GB-month</t>
        </is>
      </c>
      <c r="D7" s="99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101">
        <f>B7*D7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Mapping'!$H$4:$H$6,'TOC Mapping'!$I$4:$I$6)</f>
        <v/>
      </c>
      <c r="C8" s="29" t="inlineStr">
        <is>
          <t>GB-month</t>
        </is>
      </c>
      <c r="D8" s="99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101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9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101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9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101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Mapping'!$G$4:$G$6,'TOC Mapping'!$I$4:$I$6)</f>
        <v/>
      </c>
      <c r="C11" s="29" t="inlineStr">
        <is>
          <t>per hour</t>
        </is>
      </c>
      <c r="D11" s="99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101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9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101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102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103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0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104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104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104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104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105">
        <f>SUM(B8:B11)*(1+0.3)</f>
        <v/>
      </c>
      <c r="C12" s="1" t="n"/>
      <c r="D12" s="1" t="n"/>
    </row>
    <row r="13">
      <c r="A13" s="86" t="inlineStr">
        <is>
          <t>Cost per participant</t>
        </is>
      </c>
      <c r="B13" s="105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2026-09-21T12:48:21Z</dcterms:created>
  <dcterms:modified xmlns:dcterms="http://purl.org/dc/terms/" xmlns:xsi="http://www.w3.org/2001/XMLSchema-instance" xsi:type="dcterms:W3CDTF">2026-09-21T12:48:21Z</dcterms:modified>
</cp:coreProperties>
</file>