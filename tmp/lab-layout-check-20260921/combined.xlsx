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Cost Estimate" sheetId="1" state="visible" r:id="rId1"/>
  </sheets>
  <definedNames>
    <definedName name="_xlnm.Print_Area" localSheetId="0">'Lab Cost Estimate'!$A$1:$K$334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&quot;INR &quot;#,##0.00;[Red](&quot;INR &quot;#,##0.00);&quot;INR &quot;0.00"/>
    <numFmt numFmtId="165" formatCode="₹#,##0.00;[Red](₹#,##0.00);-"/>
    <numFmt numFmtId="166" formatCode="0.0%;[Red](0.0%);-"/>
    <numFmt numFmtId="167" formatCode="$0.0000;[Red]($0.0000);-"/>
    <numFmt numFmtId="168" formatCode="yyyy-mm-dd"/>
  </numFmts>
  <fonts count="16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b val="1"/>
      <color rgb="001E293B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b val="1"/>
      <color rgb="FF008000"/>
      <sz val="11"/>
    </font>
    <font>
      <name val="Carlito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color rgb="FF0000FF"/>
      <sz val="11"/>
    </font>
    <font>
      <b val="1"/>
      <color rgb="00FFFFFF"/>
      <sz val="16"/>
    </font>
    <font>
      <i val="1"/>
      <color rgb="00475569"/>
      <sz val="10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766E"/>
      </patternFill>
    </fill>
    <fill>
      <patternFill patternType="solid">
        <fgColor rgb="00DCEFEA"/>
      </patternFill>
    </fill>
    <fill>
      <patternFill patternType="solid">
        <fgColor rgb="00F1F5F9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2F75B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14" fillId="3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165" fontId="9" fillId="7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165" fontId="12" fillId="7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166" fontId="13" fillId="9" borderId="1" applyAlignment="1" pivotButton="0" quotePrefix="0" xfId="0">
      <alignment vertical="top" wrapText="1"/>
    </xf>
    <xf numFmtId="167" fontId="13" fillId="9" borderId="1" applyAlignment="1" pivotButton="0" quotePrefix="0" xfId="0">
      <alignment vertical="top" wrapText="1"/>
    </xf>
    <xf numFmtId="168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G202" authorId="0" shapeId="0">
      <text>
        <t>live SKU rate supplied</t>
      </text>
    </comment>
    <comment ref="G203" authorId="0" shapeId="0">
      <text>
        <t>live SKU rate supplied</t>
      </text>
    </comment>
    <comment ref="G333" authorId="0" shapeId="0">
      <text>
        <t>live SKU rate supplied</t>
      </text>
    </comment>
    <comment ref="G334" authorId="0" shapeId="0">
      <text>
        <t>live SKU rate supplied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K3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46" customWidth="1" min="3" max="3"/>
    <col width="30" customWidth="1" min="4" max="4"/>
    <col width="22" customWidth="1" min="5" max="5"/>
    <col width="12" customWidth="1" min="6" max="6"/>
    <col width="25" customWidth="1" min="7" max="7"/>
    <col width="18" customWidth="1" min="8" max="8"/>
    <col width="14" customWidth="1" min="9" max="9"/>
    <col width="18" customWidth="1" min="10" max="10"/>
    <col width="12" customWidth="1" min="11" max="11"/>
  </cols>
  <sheetData>
    <row r="1" ht="30" customHeight="1">
      <c r="A1" s="1" t="inlineStr">
        <is>
          <t>Cloud lab cost estimate</t>
        </is>
      </c>
    </row>
    <row r="2" ht="28" customHeight="1">
      <c r="A2" s="2" t="inlineStr">
        <is>
          <t>Provider totals are separate. Use the cloud(s) required by the course; do not add alternatives.</t>
        </is>
      </c>
    </row>
    <row r="5">
      <c r="A5" s="3" t="inlineStr">
        <is>
          <t>AWS — Lab Plan</t>
        </is>
      </c>
    </row>
    <row r="6" ht="26" customHeight="1">
      <c r="A6" s="4" t="inlineStr">
        <is>
          <t>Training lab plan and cost estimate</t>
        </is>
      </c>
    </row>
    <row r="7" ht="34" customHeight="1">
      <c r="A7" s="5" t="inlineStr">
        <is>
          <t>Training</t>
        </is>
      </c>
      <c r="B7" s="5">
        <f>B131</f>
        <v/>
      </c>
    </row>
    <row r="8" ht="34" customHeight="1">
      <c r="A8" s="5" t="inlineStr">
        <is>
          <t>Setup</t>
        </is>
      </c>
      <c r="B8" s="5">
        <f>B132&amp;" / "&amp;B133&amp;" | "&amp;B136&amp;" participants | "&amp;B134&amp;" lab hours/day | INR"</f>
        <v/>
      </c>
    </row>
    <row r="9" ht="48" customHeight="1">
      <c r="A9" s="5" t="inlineStr">
        <is>
          <t>Estimate status</t>
        </is>
      </c>
      <c r="B9" s="5" t="inlineStr">
        <is>
          <t>Incomplete estimate - Verified cloud rates and FX; unresolved: local hardware/electricity, required licenses</t>
        </is>
      </c>
    </row>
    <row r="10" ht="20" customHeight="1"/>
    <row r="11" ht="32" customHeight="1">
      <c r="A11" s="6" t="inlineStr">
        <is>
          <t>Day</t>
        </is>
      </c>
      <c r="B11" s="6" t="inlineStr">
        <is>
          <t>Topic</t>
        </is>
      </c>
      <c r="C11" s="6" t="inlineStr">
        <is>
          <t>Practical Lab</t>
        </is>
      </c>
      <c r="D11" s="6" t="inlineStr">
        <is>
          <t>Resources</t>
        </is>
      </c>
      <c r="E11" s="6" t="inlineStr">
        <is>
          <t>Qty (total)</t>
        </is>
      </c>
      <c r="F11" s="6" t="inlineStr">
        <is>
          <t>Hours</t>
        </is>
      </c>
      <c r="G11" s="6" t="inlineStr">
        <is>
          <t>Estimated Cost (INR)</t>
        </is>
      </c>
    </row>
    <row r="12" ht="150" customHeight="1">
      <c r="A12" s="7" t="inlineStr">
        <is>
          <t>1</t>
        </is>
      </c>
      <c r="B12" s="7">
        <f>B118&amp;CHAR(10)&amp;"Setup: "&amp;IF(SUM(C118,E118:H118)=0,"Setup unconfirmed - no cloud resources",IF(C118=$B$136,IF(SUM(E118:H118)&gt;0,"Individual + shared (assumed)","Individual (assumed)"),"Shared (assumed)"))</f>
        <v/>
      </c>
      <c r="C12" s="7" t="inlineStr">
        <is>
          <t>Practice shell commands and file permissions</t>
        </is>
      </c>
      <c r="D12" s="7">
        <f>IF(SUM(C118,E118:H118)=0,"No mapped cloud resources",IF(C118&gt;0,IF(D118="Heavy","Heavy VM / SKU unconfirmed / vCPU unconfirmed / RAM unconfirmed","Light VM / SKU unconfirmed / vCPU unconfirmed / RAM unconfirmed")&amp;CHAR(10),"")&amp;IF(E118&gt;0,"Kubernetes control plane"&amp;CHAR(10),"")&amp;IF(F118&gt;0,"Kubernetes workers"&amp;CHAR(10),"")&amp;IF(G118&gt;0,"Managed database"&amp;CHAR(10),"")&amp;IF(H118&gt;0,"Object storage"&amp;CHAR(10),"")&amp;IF((C118+F118)&gt;0,"Attached disks",""))</f>
        <v/>
      </c>
      <c r="E12" s="7">
        <f>IF(SUM(C118,E118:H118)=0,"None mapped",IF(C118&gt;0,C118&amp;" VMs"&amp;CHAR(10),"")&amp;IF(E118&gt;0,E118&amp;" clusters"&amp;CHAR(10),"")&amp;IF(F118&gt;0,F118&amp;" nodes"&amp;CHAR(10),"")&amp;IF(G118&gt;0,G118&amp;" instances"&amp;CHAR(10),"")&amp;IF(H118&gt;0,H118&amp;" GB"&amp;CHAR(10),"")&amp;IF((C118+F118)&gt;0,(C118+F118)*$B$147&amp;" GB",""))</f>
        <v/>
      </c>
      <c r="F12" s="7">
        <f>I118*$B$134</f>
        <v/>
      </c>
      <c r="G12" s="8">
        <f>(C118*IF(D118="Heavy",$F$203,$F$202)+E118*$D$102+F118*$D$103+G118*$D$108)*F12+((C118+F118)*$B$147*$D$104+H118*$D$105)*I118/30</f>
        <v/>
      </c>
    </row>
    <row r="13" ht="150" customHeight="1">
      <c r="A13" s="5" t="inlineStr">
        <is>
          <t>2-3</t>
        </is>
      </c>
      <c r="B13" s="5">
        <f>B119&amp;CHAR(10)&amp;"Setup: "&amp;IF(SUM(C119,E119:H119)=0,"Setup unconfirmed - no cloud resources",IF(C119=$B$136,IF(SUM(E119:H119)&gt;0,"Individual + shared (assumed)","Individual (assumed)"),"Shared (assumed)"))</f>
        <v/>
      </c>
      <c r="C13" s="5" t="inlineStr">
        <is>
          <t>Deploy and troubleshoot a sample service</t>
        </is>
      </c>
      <c r="D13" s="5">
        <f>IF(SUM(C119,E119:H119)=0,"No mapped cloud resources",IF(C119&gt;0,IF(D119="Heavy","Heavy VM / SKU unconfirmed / vCPU unconfirmed / RAM unconfirmed","Light VM / SKU unconfirmed / vCPU unconfirmed / RAM unconfirmed")&amp;CHAR(10),"")&amp;IF(E119&gt;0,"Kubernetes control plane"&amp;CHAR(10),"")&amp;IF(F119&gt;0,"Kubernetes workers"&amp;CHAR(10),"")&amp;IF(G119&gt;0,"Managed database"&amp;CHAR(10),"")&amp;IF(H119&gt;0,"Object storage"&amp;CHAR(10),"")&amp;IF((C119+F119)&gt;0,"Attached disks",""))</f>
        <v/>
      </c>
      <c r="E13" s="5">
        <f>IF(SUM(C119,E119:H119)=0,"None mapped",IF(C119&gt;0,C119&amp;" VMs"&amp;CHAR(10),"")&amp;IF(E119&gt;0,E119&amp;" clusters"&amp;CHAR(10),"")&amp;IF(F119&gt;0,F119&amp;" nodes"&amp;CHAR(10),"")&amp;IF(G119&gt;0,G119&amp;" instances"&amp;CHAR(10),"")&amp;IF(H119&gt;0,H119&amp;" GB"&amp;CHAR(10),"")&amp;IF((C119+F119)&gt;0,(C119+F119)*$B$147&amp;" GB",""))</f>
        <v/>
      </c>
      <c r="F13" s="5">
        <f>I119*$B$134</f>
        <v/>
      </c>
      <c r="G13" s="9">
        <f>(C119*IF(D119="Heavy",$F$203,$F$202)+E119*$D$102+F119*$D$103+G119*$D$108)*F13+((C119+F119)*$B$147*$D$104+H119*$D$105)*I119/30</f>
        <v/>
      </c>
    </row>
    <row r="14" ht="150" customHeight="1">
      <c r="A14" s="7" t="inlineStr">
        <is>
          <t>4</t>
        </is>
      </c>
      <c r="B14" s="7">
        <f>B120&amp;CHAR(10)&amp;"Setup: "&amp;IF(SUM(C120,E120:H120)=0,"Setup unconfirmed - no cloud resources",IF(C120=$B$136,IF(SUM(E120:H120)&gt;0,"Individual + shared (assumed)","Individual (assumed)"),"Shared (assumed)"))</f>
        <v/>
      </c>
      <c r="C14" s="7" t="inlineStr">
        <is>
          <t>=1+1</t>
        </is>
      </c>
      <c r="D14" s="7">
        <f>IF(SUM(C120,E120:H120)=0,"No mapped cloud resources",IF(C120&gt;0,IF(D120="Heavy","Heavy VM / SKU unconfirmed / vCPU unconfirmed / RAM unconfirmed","Light VM / SKU unconfirmed / vCPU unconfirmed / RAM unconfirmed")&amp;CHAR(10),"")&amp;IF(E120&gt;0,"Kubernetes control plane"&amp;CHAR(10),"")&amp;IF(F120&gt;0,"Kubernetes workers"&amp;CHAR(10),"")&amp;IF(G120&gt;0,"Managed database"&amp;CHAR(10),"")&amp;IF(H120&gt;0,"Object storage"&amp;CHAR(10),"")&amp;IF((C120+F120)&gt;0,"Attached disks",""))</f>
        <v/>
      </c>
      <c r="E14" s="7">
        <f>IF(SUM(C120,E120:H120)=0,"None mapped",IF(C120&gt;0,C120&amp;" VMs"&amp;CHAR(10),"")&amp;IF(E120&gt;0,E120&amp;" clusters"&amp;CHAR(10),"")&amp;IF(F120&gt;0,F120&amp;" nodes"&amp;CHAR(10),"")&amp;IF(G120&gt;0,G120&amp;" instances"&amp;CHAR(10),"")&amp;IF(H120&gt;0,H120&amp;" GB"&amp;CHAR(10),"")&amp;IF((C120+F120)&gt;0,(C120+F120)*$B$147&amp;" GB",""))</f>
        <v/>
      </c>
      <c r="F14" s="7">
        <f>I120*$B$134</f>
        <v/>
      </c>
      <c r="G14" s="8">
        <f>(C120*IF(D120="Heavy",$F$203,$F$202)+E120*$D$102+F120*$D$103+G120*$D$108)*F14+((C120+F120)*$B$147*$D$104+H120*$D$105)*I120/30</f>
        <v/>
      </c>
    </row>
    <row r="15" ht="20" customHeight="1">
      <c r="A15" s="5" t="inlineStr">
        <is>
          <t>Day-wise cloud infrastructure subtotal</t>
        </is>
      </c>
      <c r="G15" s="9">
        <f>SUM(G12:G14)</f>
        <v/>
      </c>
    </row>
    <row r="16" ht="20" customHeight="1">
      <c r="A16" s="5" t="inlineStr">
        <is>
          <t>Shared course usage: egress, build runner, monitoring</t>
        </is>
      </c>
      <c r="G16" s="9">
        <f>SUM(H106:H107)+H109</f>
        <v/>
      </c>
    </row>
    <row r="17" ht="20" customHeight="1"/>
    <row r="18" ht="26" customHeight="1">
      <c r="A18" s="10" t="inlineStr">
        <is>
          <t>Cost summary</t>
        </is>
      </c>
    </row>
    <row r="19" ht="20" customHeight="1">
      <c r="A19" s="5" t="inlineStr">
        <is>
          <t>Cloud infrastructure cost</t>
        </is>
      </c>
      <c r="G19" s="9">
        <f>B83</f>
        <v/>
      </c>
    </row>
    <row r="20" ht="20" customHeight="1">
      <c r="A20" s="5" t="inlineStr">
        <is>
          <t>Support</t>
        </is>
      </c>
      <c r="G20" s="9">
        <f>B84</f>
        <v/>
      </c>
    </row>
    <row r="21" ht="20" customHeight="1">
      <c r="A21" s="5" t="inlineStr">
        <is>
          <t>Contingency</t>
        </is>
      </c>
      <c r="G21" s="9">
        <f>B85</f>
        <v/>
      </c>
    </row>
    <row r="22" ht="20" customHeight="1">
      <c r="A22" s="5" t="inlineStr">
        <is>
          <t>Tax / GST</t>
        </is>
      </c>
      <c r="G22" s="9">
        <f>B86</f>
        <v/>
      </c>
    </row>
    <row r="23" ht="20" customHeight="1">
      <c r="A23" s="5" t="inlineStr">
        <is>
          <t>Service adjustment</t>
        </is>
      </c>
      <c r="G23" s="9">
        <f>B87-SUM(B83:B86)</f>
        <v/>
      </c>
    </row>
    <row r="24" ht="20" customHeight="1">
      <c r="A24" s="5" t="inlineStr">
        <is>
          <t>Priced lab subtotal - incomplete estimate</t>
        </is>
      </c>
      <c r="G24" s="9">
        <f>B87</f>
        <v/>
      </c>
    </row>
    <row r="25" ht="20" customHeight="1">
      <c r="A25" s="5" t="inlineStr">
        <is>
          <t>Priced subtotal per participant</t>
        </is>
      </c>
      <c r="G25" s="9">
        <f>B88</f>
        <v/>
      </c>
    </row>
    <row r="26" ht="34" customHeight="1">
      <c r="A26" s="5" t="inlineStr">
        <is>
          <t>Local / licenses</t>
        </is>
      </c>
      <c r="B26" s="5" t="inlineStr">
        <is>
          <t>Unverified / excluded: local hardware/electricity, required licenses. All-in total is incomplete.</t>
        </is>
      </c>
    </row>
    <row r="27" ht="20" customHeight="1"/>
    <row r="28" ht="26" customHeight="1">
      <c r="A28" s="10" t="inlineStr">
        <is>
          <t>Key assumptions and pricing sources</t>
        </is>
      </c>
    </row>
    <row r="29" ht="44" customHeight="1">
      <c r="A29" s="5" t="inlineStr">
        <is>
          <t>Resource setup</t>
        </is>
      </c>
      <c r="B29" s="5" t="inlineStr">
        <is>
          <t>Quantities are total provisioned resources from TOC Mapping; confirm individual versus shared setup.</t>
        </is>
      </c>
    </row>
    <row r="30" ht="48" customHeight="1">
      <c r="A30" s="5" t="inlineStr">
        <is>
          <t>Billing</t>
        </is>
      </c>
      <c r="B30" s="5" t="inlineStr">
        <is>
          <t>Hours are per-resource lab runtime for each TOC entry. Disks and object storage accrue for active days, prorated over 30 days. Extra idle runtime and retention beyond active days are excluded; confirm shutdown/deletion.</t>
        </is>
      </c>
    </row>
    <row r="31" ht="48" customHeight="1">
      <c r="A31" s="5" t="inlineStr">
        <is>
          <t>Cost basis</t>
        </is>
      </c>
      <c r="B31" s="5" t="inlineStr">
        <is>
          <t>Daily costs show cloud infrastructure only. Course-wide egress, build and monitoring are charged once in the separate shared-usage row. Support, contingency, tax and the existing service adjustment appear in the summary.</t>
        </is>
      </c>
    </row>
    <row r="32" ht="34" customHeight="1">
      <c r="A32" s="5" t="inlineStr">
        <is>
          <t>Applied assumptions</t>
        </is>
      </c>
      <c r="B32" s="5">
        <f>"Contingency: "&amp;TEXT(B143,"0.0%")&amp;"; tax: "&amp;TEXT(B144,"0.0%")&amp;". Review configured/default percentages and support before approval."</f>
        <v/>
      </c>
    </row>
    <row r="33" ht="44" customHeight="1">
      <c r="A33" s="5" t="inlineStr">
        <is>
          <t>Excluded costs</t>
        </is>
      </c>
      <c r="B33" s="5" t="inlineStr">
        <is>
          <t>Unmapped services, local hardware, electricity and unpriced licenses are excluded. A complete all-in total requires these costs or confirmation that they are already covered.</t>
        </is>
      </c>
    </row>
    <row r="34" ht="34" customHeight="1">
      <c r="A34" s="5" t="inlineStr">
        <is>
          <t>Provider sources</t>
        </is>
      </c>
      <c r="B34" s="5" t="inlineStr">
        <is>
          <t>https://example.com/test-only</t>
        </is>
      </c>
    </row>
    <row r="35" ht="34" customHeight="1">
      <c r="A35" s="5" t="inlineStr">
        <is>
          <t>Verified at (UTC)</t>
        </is>
      </c>
      <c r="B35" s="5" t="inlineStr">
        <is>
          <t>2026-09-21T00:00:00+00:00</t>
        </is>
      </c>
    </row>
    <row r="36" ht="34" customHeight="1">
      <c r="A36" s="5" t="inlineStr">
        <is>
          <t>FX source / date</t>
        </is>
      </c>
      <c r="B36" s="5" t="inlineStr">
        <is>
          <t>https://example.com/test-only-fx | 2026-09-21</t>
        </is>
      </c>
    </row>
    <row r="37" ht="44" customHeight="1">
      <c r="A37" s="5" t="inlineStr">
        <is>
          <t>Audit detail</t>
        </is>
      </c>
      <c r="B37" s="5" t="inlineStr">
        <is>
          <t>Resource rates, units and sources: Rate Card and Live Price Check (when present). Editable quantities: TOC Mapping. Calculations: Resource Cost Breakdown and Client Estimate.</t>
        </is>
      </c>
    </row>
    <row r="40">
      <c r="A40" s="3" t="inlineStr">
        <is>
          <t>AZURE — Lab Plan</t>
        </is>
      </c>
    </row>
    <row r="41" ht="26" customHeight="1">
      <c r="A41" s="4" t="inlineStr">
        <is>
          <t>Training lab plan and cost estimate</t>
        </is>
      </c>
    </row>
    <row r="42" ht="34" customHeight="1">
      <c r="A42" s="5" t="inlineStr">
        <is>
          <t>Training</t>
        </is>
      </c>
      <c r="B42" s="5">
        <f>B262</f>
        <v/>
      </c>
    </row>
    <row r="43" ht="34" customHeight="1">
      <c r="A43" s="5" t="inlineStr">
        <is>
          <t>Setup</t>
        </is>
      </c>
      <c r="B43" s="5">
        <f>B263&amp;" / "&amp;B264&amp;" | "&amp;B267&amp;" participants | "&amp;B265&amp;" lab hours/day | INR"</f>
        <v/>
      </c>
    </row>
    <row r="44" ht="48" customHeight="1">
      <c r="A44" s="5" t="inlineStr">
        <is>
          <t>Estimate status</t>
        </is>
      </c>
      <c r="B44" s="5" t="inlineStr">
        <is>
          <t>Incomplete estimate - Verified cloud rates and FX; unresolved: local hardware/electricity, required licenses</t>
        </is>
      </c>
    </row>
    <row r="45" ht="20" customHeight="1"/>
    <row r="46" ht="32" customHeight="1">
      <c r="A46" s="6" t="inlineStr">
        <is>
          <t>Day</t>
        </is>
      </c>
      <c r="B46" s="6" t="inlineStr">
        <is>
          <t>Topic</t>
        </is>
      </c>
      <c r="C46" s="6" t="inlineStr">
        <is>
          <t>Practical Lab</t>
        </is>
      </c>
      <c r="D46" s="6" t="inlineStr">
        <is>
          <t>Resources</t>
        </is>
      </c>
      <c r="E46" s="6" t="inlineStr">
        <is>
          <t>Qty (total)</t>
        </is>
      </c>
      <c r="F46" s="6" t="inlineStr">
        <is>
          <t>Hours</t>
        </is>
      </c>
      <c r="G46" s="6" t="inlineStr">
        <is>
          <t>Estimated Cost (INR)</t>
        </is>
      </c>
    </row>
    <row r="47" ht="150" customHeight="1">
      <c r="A47" s="7" t="inlineStr">
        <is>
          <t>1</t>
        </is>
      </c>
      <c r="B47" s="7">
        <f>B249&amp;CHAR(10)&amp;"Setup: "&amp;IF(SUM(C249,E249:H249)=0,"Setup unconfirmed - no cloud resources",IF(C249=$B$267,IF(SUM(E249:H249)&gt;0,"Individual + shared (assumed)","Individual (assumed)"),"Shared (assumed)"))</f>
        <v/>
      </c>
      <c r="C47" s="7" t="inlineStr">
        <is>
          <t>Practice shell commands and file permissions</t>
        </is>
      </c>
      <c r="D47" s="7">
        <f>IF(SUM(C249,E249:H249)=0,"No mapped cloud resources",IF(C249&gt;0,IF(D249="Heavy","Heavy VM / SKU unconfirmed / vCPU unconfirmed / RAM unconfirmed","Light VM / SKU unconfirmed / vCPU unconfirmed / RAM unconfirmed")&amp;CHAR(10),"")&amp;IF(E249&gt;0,"Kubernetes control plane"&amp;CHAR(10),"")&amp;IF(F249&gt;0,"Kubernetes workers"&amp;CHAR(10),"")&amp;IF(G249&gt;0,"Managed database"&amp;CHAR(10),"")&amp;IF(H249&gt;0,"Object storage"&amp;CHAR(10),"")&amp;IF((C249+F249)&gt;0,"Attached disks",""))</f>
        <v/>
      </c>
      <c r="E47" s="7">
        <f>IF(SUM(C249,E249:H249)=0,"None mapped",IF(C249&gt;0,C249&amp;" VMs"&amp;CHAR(10),"")&amp;IF(E249&gt;0,E249&amp;" clusters"&amp;CHAR(10),"")&amp;IF(F249&gt;0,F249&amp;" nodes"&amp;CHAR(10),"")&amp;IF(G249&gt;0,G249&amp;" instances"&amp;CHAR(10),"")&amp;IF(H249&gt;0,H249&amp;" GB"&amp;CHAR(10),"")&amp;IF((C249+F249)&gt;0,(C249+F249)*$B$278&amp;" GB",""))</f>
        <v/>
      </c>
      <c r="F47" s="7">
        <f>I249*$B$265</f>
        <v/>
      </c>
      <c r="G47" s="8">
        <f>(C249*IF(D249="Heavy",$F$334,$F$333)+E249*$D$233+F249*$D$234+G249*$D$239)*F47+((C249+F249)*$B$278*$D$235+H249*$D$236)*I249/30</f>
        <v/>
      </c>
    </row>
    <row r="48" ht="150" customHeight="1">
      <c r="A48" s="5" t="inlineStr">
        <is>
          <t>2-3</t>
        </is>
      </c>
      <c r="B48" s="5">
        <f>B250&amp;CHAR(10)&amp;"Setup: "&amp;IF(SUM(C250,E250:H250)=0,"Setup unconfirmed - no cloud resources",IF(C250=$B$267,IF(SUM(E250:H250)&gt;0,"Individual + shared (assumed)","Individual (assumed)"),"Shared (assumed)"))</f>
        <v/>
      </c>
      <c r="C48" s="5" t="inlineStr">
        <is>
          <t>Deploy and troubleshoot a sample service</t>
        </is>
      </c>
      <c r="D48" s="5">
        <f>IF(SUM(C250,E250:H250)=0,"No mapped cloud resources",IF(C250&gt;0,IF(D250="Heavy","Heavy VM / SKU unconfirmed / vCPU unconfirmed / RAM unconfirmed","Light VM / SKU unconfirmed / vCPU unconfirmed / RAM unconfirmed")&amp;CHAR(10),"")&amp;IF(E250&gt;0,"Kubernetes control plane"&amp;CHAR(10),"")&amp;IF(F250&gt;0,"Kubernetes workers"&amp;CHAR(10),"")&amp;IF(G250&gt;0,"Managed database"&amp;CHAR(10),"")&amp;IF(H250&gt;0,"Object storage"&amp;CHAR(10),"")&amp;IF((C250+F250)&gt;0,"Attached disks",""))</f>
        <v/>
      </c>
      <c r="E48" s="5">
        <f>IF(SUM(C250,E250:H250)=0,"None mapped",IF(C250&gt;0,C250&amp;" VMs"&amp;CHAR(10),"")&amp;IF(E250&gt;0,E250&amp;" clusters"&amp;CHAR(10),"")&amp;IF(F250&gt;0,F250&amp;" nodes"&amp;CHAR(10),"")&amp;IF(G250&gt;0,G250&amp;" instances"&amp;CHAR(10),"")&amp;IF(H250&gt;0,H250&amp;" GB"&amp;CHAR(10),"")&amp;IF((C250+F250)&gt;0,(C250+F250)*$B$278&amp;" GB",""))</f>
        <v/>
      </c>
      <c r="F48" s="5">
        <f>I250*$B$265</f>
        <v/>
      </c>
      <c r="G48" s="9">
        <f>(C250*IF(D250="Heavy",$F$334,$F$333)+E250*$D$233+F250*$D$234+G250*$D$239)*F48+((C250+F250)*$B$278*$D$235+H250*$D$236)*I250/30</f>
        <v/>
      </c>
    </row>
    <row r="49" ht="150" customHeight="1">
      <c r="A49" s="7" t="inlineStr">
        <is>
          <t>4</t>
        </is>
      </c>
      <c r="B49" s="7">
        <f>B251&amp;CHAR(10)&amp;"Setup: "&amp;IF(SUM(C251,E251:H251)=0,"Setup unconfirmed - no cloud resources",IF(C251=$B$267,IF(SUM(E251:H251)&gt;0,"Individual + shared (assumed)","Individual (assumed)"),"Shared (assumed)"))</f>
        <v/>
      </c>
      <c r="C49" s="7" t="inlineStr">
        <is>
          <t>=1+1</t>
        </is>
      </c>
      <c r="D49" s="7">
        <f>IF(SUM(C251,E251:H251)=0,"No mapped cloud resources",IF(C251&gt;0,IF(D251="Heavy","Heavy VM / SKU unconfirmed / vCPU unconfirmed / RAM unconfirmed","Light VM / SKU unconfirmed / vCPU unconfirmed / RAM unconfirmed")&amp;CHAR(10),"")&amp;IF(E251&gt;0,"Kubernetes control plane"&amp;CHAR(10),"")&amp;IF(F251&gt;0,"Kubernetes workers"&amp;CHAR(10),"")&amp;IF(G251&gt;0,"Managed database"&amp;CHAR(10),"")&amp;IF(H251&gt;0,"Object storage"&amp;CHAR(10),"")&amp;IF((C251+F251)&gt;0,"Attached disks",""))</f>
        <v/>
      </c>
      <c r="E49" s="7">
        <f>IF(SUM(C251,E251:H251)=0,"None mapped",IF(C251&gt;0,C251&amp;" VMs"&amp;CHAR(10),"")&amp;IF(E251&gt;0,E251&amp;" clusters"&amp;CHAR(10),"")&amp;IF(F251&gt;0,F251&amp;" nodes"&amp;CHAR(10),"")&amp;IF(G251&gt;0,G251&amp;" instances"&amp;CHAR(10),"")&amp;IF(H251&gt;0,H251&amp;" GB"&amp;CHAR(10),"")&amp;IF((C251+F251)&gt;0,(C251+F251)*$B$278&amp;" GB",""))</f>
        <v/>
      </c>
      <c r="F49" s="7">
        <f>I251*$B$265</f>
        <v/>
      </c>
      <c r="G49" s="8">
        <f>(C251*IF(D251="Heavy",$F$334,$F$333)+E251*$D$233+F251*$D$234+G251*$D$239)*F49+((C251+F251)*$B$278*$D$235+H251*$D$236)*I251/30</f>
        <v/>
      </c>
    </row>
    <row r="50" ht="20" customHeight="1">
      <c r="A50" s="5" t="inlineStr">
        <is>
          <t>Day-wise cloud infrastructure subtotal</t>
        </is>
      </c>
      <c r="G50" s="9">
        <f>SUM(G47:G49)</f>
        <v/>
      </c>
    </row>
    <row r="51" ht="20" customHeight="1">
      <c r="A51" s="5" t="inlineStr">
        <is>
          <t>Shared course usage: egress, build runner, monitoring</t>
        </is>
      </c>
      <c r="G51" s="9">
        <f>SUM(H237:H238)+H240</f>
        <v/>
      </c>
    </row>
    <row r="52" ht="20" customHeight="1"/>
    <row r="53" ht="26" customHeight="1">
      <c r="A53" s="10" t="inlineStr">
        <is>
          <t>Cost summary</t>
        </is>
      </c>
    </row>
    <row r="54" ht="20" customHeight="1">
      <c r="A54" s="5" t="inlineStr">
        <is>
          <t>Cloud infrastructure cost</t>
        </is>
      </c>
      <c r="G54" s="9">
        <f>B214</f>
        <v/>
      </c>
    </row>
    <row r="55" ht="20" customHeight="1">
      <c r="A55" s="5" t="inlineStr">
        <is>
          <t>Support</t>
        </is>
      </c>
      <c r="G55" s="9">
        <f>B215</f>
        <v/>
      </c>
    </row>
    <row r="56" ht="20" customHeight="1">
      <c r="A56" s="5" t="inlineStr">
        <is>
          <t>Contingency</t>
        </is>
      </c>
      <c r="G56" s="9">
        <f>B216</f>
        <v/>
      </c>
    </row>
    <row r="57" ht="20" customHeight="1">
      <c r="A57" s="5" t="inlineStr">
        <is>
          <t>Tax / GST</t>
        </is>
      </c>
      <c r="G57" s="9">
        <f>B217</f>
        <v/>
      </c>
    </row>
    <row r="58" ht="20" customHeight="1">
      <c r="A58" s="5" t="inlineStr">
        <is>
          <t>Service adjustment</t>
        </is>
      </c>
      <c r="G58" s="9">
        <f>B218-SUM(B214:B217)</f>
        <v/>
      </c>
    </row>
    <row r="59" ht="20" customHeight="1">
      <c r="A59" s="5" t="inlineStr">
        <is>
          <t>Priced lab subtotal - incomplete estimate</t>
        </is>
      </c>
      <c r="G59" s="9">
        <f>B218</f>
        <v/>
      </c>
    </row>
    <row r="60" ht="20" customHeight="1">
      <c r="A60" s="5" t="inlineStr">
        <is>
          <t>Priced subtotal per participant</t>
        </is>
      </c>
      <c r="G60" s="9">
        <f>B219</f>
        <v/>
      </c>
    </row>
    <row r="61" ht="34" customHeight="1">
      <c r="A61" s="5" t="inlineStr">
        <is>
          <t>Local / licenses</t>
        </is>
      </c>
      <c r="B61" s="5" t="inlineStr">
        <is>
          <t>Unverified / excluded: local hardware/electricity, required licenses. All-in total is incomplete.</t>
        </is>
      </c>
    </row>
    <row r="62" ht="20" customHeight="1"/>
    <row r="63" ht="26" customHeight="1">
      <c r="A63" s="10" t="inlineStr">
        <is>
          <t>Key assumptions and pricing sources</t>
        </is>
      </c>
    </row>
    <row r="64" ht="44" customHeight="1">
      <c r="A64" s="5" t="inlineStr">
        <is>
          <t>Resource setup</t>
        </is>
      </c>
      <c r="B64" s="5" t="inlineStr">
        <is>
          <t>Quantities are total provisioned resources from TOC Mapping; confirm individual versus shared setup.</t>
        </is>
      </c>
    </row>
    <row r="65" ht="48" customHeight="1">
      <c r="A65" s="5" t="inlineStr">
        <is>
          <t>Billing</t>
        </is>
      </c>
      <c r="B65" s="5" t="inlineStr">
        <is>
          <t>Hours are per-resource lab runtime for each TOC entry. Disks and object storage accrue for active days, prorated over 30 days. Extra idle runtime and retention beyond active days are excluded; confirm shutdown/deletion.</t>
        </is>
      </c>
    </row>
    <row r="66" ht="48" customHeight="1">
      <c r="A66" s="5" t="inlineStr">
        <is>
          <t>Cost basis</t>
        </is>
      </c>
      <c r="B66" s="5" t="inlineStr">
        <is>
          <t>Daily costs show cloud infrastructure only. Course-wide egress, build and monitoring are charged once in the separate shared-usage row. Support, contingency, tax and the existing service adjustment appear in the summary.</t>
        </is>
      </c>
    </row>
    <row r="67" ht="34" customHeight="1">
      <c r="A67" s="5" t="inlineStr">
        <is>
          <t>Applied assumptions</t>
        </is>
      </c>
      <c r="B67" s="5">
        <f>"Contingency: "&amp;TEXT(B274,"0.0%")&amp;"; tax: "&amp;TEXT(B275,"0.0%")&amp;". Review configured/default percentages and support before approval."</f>
        <v/>
      </c>
    </row>
    <row r="68" ht="44" customHeight="1">
      <c r="A68" s="5" t="inlineStr">
        <is>
          <t>Excluded costs</t>
        </is>
      </c>
      <c r="B68" s="5" t="inlineStr">
        <is>
          <t>Unmapped services, local hardware, electricity and unpriced licenses are excluded. A complete all-in total requires these costs or confirmation that they are already covered.</t>
        </is>
      </c>
    </row>
    <row r="69" ht="34" customHeight="1">
      <c r="A69" s="5" t="inlineStr">
        <is>
          <t>Provider sources</t>
        </is>
      </c>
      <c r="B69" s="5" t="inlineStr">
        <is>
          <t>https://example.com/test-only</t>
        </is>
      </c>
    </row>
    <row r="70" ht="34" customHeight="1">
      <c r="A70" s="5" t="inlineStr">
        <is>
          <t>Verified at (UTC)</t>
        </is>
      </c>
      <c r="B70" s="5" t="inlineStr">
        <is>
          <t>2026-09-21T00:00:00+00:00</t>
        </is>
      </c>
    </row>
    <row r="71" ht="34" customHeight="1">
      <c r="A71" s="5" t="inlineStr">
        <is>
          <t>FX source / date</t>
        </is>
      </c>
      <c r="B71" s="5" t="inlineStr">
        <is>
          <t>https://example.com/test-only-fx | 2026-09-21</t>
        </is>
      </c>
    </row>
    <row r="72" ht="44" customHeight="1">
      <c r="A72" s="5" t="inlineStr">
        <is>
          <t>Audit detail</t>
        </is>
      </c>
      <c r="B72" s="5" t="inlineStr">
        <is>
          <t>Resource rates, units and sources: Rate Card and Live Price Check (when present). Editable quantities: TOC Mapping. Calculations: Resource Cost Breakdown and Client Estimate.</t>
        </is>
      </c>
    </row>
    <row r="75" hidden="1">
      <c r="A75" s="3" t="inlineStr">
        <is>
          <t>AWS — Client Estimate</t>
        </is>
      </c>
    </row>
    <row r="76" hidden="1" outlineLevel="1" ht="28" customHeight="1">
      <c r="A76" s="11" t="inlineStr">
        <is>
          <t>Client Lab Cost Estimate</t>
        </is>
      </c>
    </row>
    <row r="77" hidden="1" outlineLevel="1" ht="20" customHeight="1"/>
    <row r="78" hidden="1" outlineLevel="1" ht="20" customHeight="1">
      <c r="A78" s="12" t="inlineStr">
        <is>
          <t>CLIENT QUOTE SUMMARY</t>
        </is>
      </c>
    </row>
    <row r="79" hidden="1" outlineLevel="1" ht="20" customHeight="1">
      <c r="A79" s="13" t="inlineStr">
        <is>
          <t>Training title</t>
        </is>
      </c>
      <c r="B79" s="14">
        <f>B131</f>
        <v/>
      </c>
    </row>
    <row r="80" hidden="1" outlineLevel="1" ht="20" customHeight="1">
      <c r="A80" s="13" t="inlineStr">
        <is>
          <t>Cloud provider and region</t>
        </is>
      </c>
      <c r="B80" s="14">
        <f>B132&amp;" – "&amp;B133</f>
        <v/>
      </c>
    </row>
    <row r="81" hidden="1" outlineLevel="1" ht="20" customHeight="1">
      <c r="A81" s="13" t="inlineStr">
        <is>
          <t>Number of participants</t>
        </is>
      </c>
      <c r="B81" s="14">
        <f>B136</f>
        <v/>
      </c>
    </row>
    <row r="82" hidden="1" outlineLevel="1" ht="20" customHeight="1">
      <c r="A82" s="13" t="inlineStr">
        <is>
          <t>Training days and hours/day</t>
        </is>
      </c>
      <c r="B82" s="14">
        <f>B135&amp;" days × "&amp;B134&amp;" hours/day"</f>
        <v/>
      </c>
    </row>
    <row r="83" hidden="1" outlineLevel="1" ht="20" customHeight="1">
      <c r="A83" s="13" t="inlineStr">
        <is>
          <t>Infrastructure cost</t>
        </is>
      </c>
      <c r="B83" s="15">
        <f>H111</f>
        <v/>
      </c>
    </row>
    <row r="84" hidden="1" outlineLevel="1" ht="20" customHeight="1">
      <c r="A84" s="13" t="inlineStr">
        <is>
          <t>Support cost</t>
        </is>
      </c>
      <c r="B84" s="15">
        <f>B148*B136*B135</f>
        <v/>
      </c>
    </row>
    <row r="85" hidden="1" outlineLevel="1" ht="20" customHeight="1">
      <c r="A85" s="13" t="inlineStr">
        <is>
          <t>Contingency</t>
        </is>
      </c>
      <c r="B85" s="15">
        <f>(B83+B84)*B143</f>
        <v/>
      </c>
    </row>
    <row r="86" hidden="1" outlineLevel="1" ht="20" customHeight="1">
      <c r="A86" s="13" t="inlineStr">
        <is>
          <t>Tax / GST</t>
        </is>
      </c>
      <c r="B86" s="15">
        <f>(B83+B84+B85)*B144</f>
        <v/>
      </c>
    </row>
    <row r="87" hidden="1" outlineLevel="1" ht="20" customHeight="1">
      <c r="A87" s="16" t="inlineStr">
        <is>
          <t>Final estimated cost</t>
        </is>
      </c>
      <c r="B87" s="17">
        <f>SUM(B83:B86)*(1+0.3)</f>
        <v/>
      </c>
    </row>
    <row r="88" hidden="1" outlineLevel="1" ht="20" customHeight="1">
      <c r="A88" s="16" t="inlineStr">
        <is>
          <t>Cost per participant</t>
        </is>
      </c>
      <c r="B88" s="17">
        <f>B87/B136</f>
        <v/>
      </c>
    </row>
    <row r="89" hidden="1" outlineLevel="1" ht="20" customHeight="1">
      <c r="A89" s="13" t="inlineStr">
        <is>
          <t>Quote validity</t>
        </is>
      </c>
      <c r="B89" s="14">
        <f>B146&amp;" days from quote date"</f>
        <v/>
      </c>
    </row>
    <row r="90" hidden="1" outlineLevel="1" ht="20" customHeight="1"/>
    <row r="91" hidden="1" outlineLevel="1" ht="20" customHeight="1">
      <c r="A91" s="12" t="inlineStr">
        <is>
          <t>Estimate notes</t>
        </is>
      </c>
    </row>
    <row r="92" hidden="1" outlineLevel="1" ht="20" customHeight="1">
      <c r="A92" s="18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</row>
    <row r="93" hidden="1" outlineLevel="1" ht="20" customHeight="1"/>
    <row r="94" hidden="1" outlineLevel="1" ht="20" customHeight="1"/>
    <row r="97" hidden="1">
      <c r="A97" s="3" t="inlineStr">
        <is>
          <t>AWS — Resource Cost Breakdown</t>
        </is>
      </c>
    </row>
    <row r="98" hidden="1" outlineLevel="1" ht="28" customHeight="1">
      <c r="A98" s="11" t="inlineStr">
        <is>
          <t>Resource Cost Breakdown – Billing-Unit Based</t>
        </is>
      </c>
    </row>
    <row r="99" hidden="1" outlineLevel="1" ht="20" customHeight="1"/>
    <row r="100" hidden="1" outlineLevel="1" ht="20" customHeight="1">
      <c r="A100" s="19" t="inlineStr">
        <is>
          <t>Resource</t>
        </is>
      </c>
      <c r="B100" s="19" t="inlineStr">
        <is>
          <t>Quantity</t>
        </is>
      </c>
      <c r="C100" s="19" t="inlineStr">
        <is>
          <t>Billing unit</t>
        </is>
      </c>
      <c r="D100" s="19" t="inlineStr">
        <is>
          <t>Rate (INR)</t>
        </is>
      </c>
      <c r="E100" s="19" t="inlineStr">
        <is>
          <t>Usage driver</t>
        </is>
      </c>
      <c r="F100" s="19" t="inlineStr">
        <is>
          <t>Days / Hours</t>
        </is>
      </c>
      <c r="G100" s="19" t="inlineStr">
        <is>
          <t>Formula basis</t>
        </is>
      </c>
      <c r="H100" s="19" t="inlineStr">
        <is>
          <t>Total (INR)</t>
        </is>
      </c>
      <c r="I100" s="19" t="inlineStr">
        <is>
          <t>Provider</t>
        </is>
      </c>
      <c r="J100" s="19" t="inlineStr">
        <is>
          <t>Region</t>
        </is>
      </c>
    </row>
    <row r="101" hidden="1" outlineLevel="1" ht="20" customHeight="1">
      <c r="A101" s="18" t="inlineStr">
        <is>
          <t>VM (profiled)</t>
        </is>
      </c>
      <c r="B101" s="18">
        <f>SUMPRODUCT($C$118:$C$120,$I$118:$I$120)</f>
        <v/>
      </c>
      <c r="C101" s="18" t="inlineStr">
        <is>
          <t>per hour</t>
        </is>
      </c>
      <c r="D101" s="15">
        <f>SUMIFS($F$175:$F$201,$A$175:$A$201,I101,$B$175:$B$201,J101,$C$175:$C$201,A101)</f>
        <v/>
      </c>
      <c r="E101" s="18" t="inlineStr">
        <is>
          <t>runtime hours</t>
        </is>
      </c>
      <c r="F101" s="14">
        <f>$B$134</f>
        <v/>
      </c>
      <c r="G101" s="18" t="inlineStr">
        <is>
          <t>Light/Heavy VM-days × respective rate × Hours/day</t>
        </is>
      </c>
      <c r="H101" s="20">
        <f>(SUMPRODUCT($C$118:$C$120,$I$118:$I$120,--($D$118:$D$120="Light"))*$F$202+SUMPRODUCT($C$118:$C$120,$I$118:$I$120,--($D$118:$D$120="Heavy"))*$F$203)*$B$134</f>
        <v/>
      </c>
      <c r="I101" s="14">
        <f>$B$132</f>
        <v/>
      </c>
      <c r="J101" s="14">
        <f>$B$133</f>
        <v/>
      </c>
    </row>
    <row r="102" hidden="1" outlineLevel="1" ht="20" customHeight="1">
      <c r="A102" s="18" t="inlineStr">
        <is>
          <t>Kubernetes control plane</t>
        </is>
      </c>
      <c r="B102" s="18">
        <f>SUMPRODUCT($E$118:$E$120,$I$118:$I$120)</f>
        <v/>
      </c>
      <c r="C102" s="18" t="inlineStr">
        <is>
          <t>per cluster-hour</t>
        </is>
      </c>
      <c r="D102" s="15">
        <f>SUMIFS($F$175:$F$201,$A$175:$A$201,I102,$B$175:$B$201,J102,$C$175:$C$201,A102)</f>
        <v/>
      </c>
      <c r="E102" s="18" t="inlineStr">
        <is>
          <t>runtime hours</t>
        </is>
      </c>
      <c r="F102" s="14">
        <f>$B$134</f>
        <v/>
      </c>
      <c r="G102" s="18" t="inlineStr">
        <is>
          <t>Resource-days × Rate × Hours/day</t>
        </is>
      </c>
      <c r="H102" s="20">
        <f>B102*D102*F102</f>
        <v/>
      </c>
      <c r="I102" s="14">
        <f>$B$132</f>
        <v/>
      </c>
      <c r="J102" s="14">
        <f>$B$133</f>
        <v/>
      </c>
    </row>
    <row r="103" hidden="1" outlineLevel="1" ht="20" customHeight="1">
      <c r="A103" s="18" t="inlineStr">
        <is>
          <t>Kubernetes worker</t>
        </is>
      </c>
      <c r="B103" s="14">
        <f>SUMPRODUCT($F$118:$F$120,$I$118:$I$120)</f>
        <v/>
      </c>
      <c r="C103" s="18" t="inlineStr">
        <is>
          <t>per VM-hour</t>
        </is>
      </c>
      <c r="D103" s="15">
        <f>SUMIFS($F$175:$F$201,$A$175:$A$201,I103,$B$175:$B$201,J103,$C$175:$C$201,A103)</f>
        <v/>
      </c>
      <c r="E103" s="18" t="inlineStr">
        <is>
          <t>runtime hours</t>
        </is>
      </c>
      <c r="F103" s="14">
        <f>$B$134</f>
        <v/>
      </c>
      <c r="G103" s="18" t="inlineStr">
        <is>
          <t>Resource-days × Rate × Hours/day</t>
        </is>
      </c>
      <c r="H103" s="20">
        <f>B103*D103*F103</f>
        <v/>
      </c>
      <c r="I103" s="14">
        <f>$B$132</f>
        <v/>
      </c>
      <c r="J103" s="14">
        <f>$B$133</f>
        <v/>
      </c>
    </row>
    <row r="104" hidden="1" outlineLevel="1" ht="20" customHeight="1">
      <c r="A104" s="18" t="inlineStr">
        <is>
          <t>Disk</t>
        </is>
      </c>
      <c r="B104" s="18">
        <f>SUMPRODUCT(($C$118:$C$120+$F$118:$F$120),$I$118:$I$120)*$B$147/30</f>
        <v/>
      </c>
      <c r="C104" s="18" t="inlineStr">
        <is>
          <t>GB-month</t>
        </is>
      </c>
      <c r="D104" s="15">
        <f>SUMIFS($F$175:$F$201,$A$175:$A$201,I104,$B$175:$B$201,J104,$C$175:$C$201,A104)</f>
        <v/>
      </c>
      <c r="E104" s="18" t="inlineStr">
        <is>
          <t>prorated days</t>
        </is>
      </c>
      <c r="F104" s="14" t="n">
        <v>1</v>
      </c>
      <c r="G104" s="18" t="inlineStr">
        <is>
          <t>GB-node-days × monthly rate / 30</t>
        </is>
      </c>
      <c r="H104" s="20">
        <f>B104*D104</f>
        <v/>
      </c>
      <c r="I104" s="14">
        <f>$B$132</f>
        <v/>
      </c>
      <c r="J104" s="14">
        <f>$B$133</f>
        <v/>
      </c>
    </row>
    <row r="105" hidden="1" outlineLevel="1" ht="20" customHeight="1">
      <c r="A105" s="18" t="inlineStr">
        <is>
          <t>Storage</t>
        </is>
      </c>
      <c r="B105" s="14">
        <f>SUMPRODUCT($H$118:$H$120,$I$118:$I$120)</f>
        <v/>
      </c>
      <c r="C105" s="18" t="inlineStr">
        <is>
          <t>GB-month</t>
        </is>
      </c>
      <c r="D105" s="15">
        <f>SUMIFS($F$175:$F$201,$A$175:$A$201,I105,$B$175:$B$201,J105,$C$175:$C$201,A105)</f>
        <v/>
      </c>
      <c r="E105" s="18" t="inlineStr">
        <is>
          <t>prorated days</t>
        </is>
      </c>
      <c r="F105" s="14" t="n">
        <v>1</v>
      </c>
      <c r="G105" s="18" t="inlineStr">
        <is>
          <t>GB-days × monthly rate / 30</t>
        </is>
      </c>
      <c r="H105" s="20">
        <f>B105*D105/30</f>
        <v/>
      </c>
      <c r="I105" s="14">
        <f>$B$132</f>
        <v/>
      </c>
      <c r="J105" s="14">
        <f>$B$133</f>
        <v/>
      </c>
    </row>
    <row r="106" hidden="1" outlineLevel="1" ht="20" customHeight="1">
      <c r="A106" s="18" t="inlineStr">
        <is>
          <t>Egress</t>
        </is>
      </c>
      <c r="B106" s="14">
        <f>B138</f>
        <v/>
      </c>
      <c r="C106" s="18" t="inlineStr">
        <is>
          <t>per GB</t>
        </is>
      </c>
      <c r="D106" s="15">
        <f>SUMIFS($F$175:$F$201,$A$175:$A$201,I106,$B$175:$B$201,J106,$C$175:$C$201,A106)</f>
        <v/>
      </c>
      <c r="E106" s="18" t="inlineStr">
        <is>
          <t>one-time</t>
        </is>
      </c>
      <c r="F106" s="18" t="n">
        <v>1</v>
      </c>
      <c r="G106" s="18" t="inlineStr">
        <is>
          <t>GB × Rate</t>
        </is>
      </c>
      <c r="H106" s="20">
        <f>B106*D106</f>
        <v/>
      </c>
      <c r="I106" s="14">
        <f>$B$132</f>
        <v/>
      </c>
      <c r="J106" s="14">
        <f>$B$133</f>
        <v/>
      </c>
    </row>
    <row r="107" hidden="1" outlineLevel="1" ht="20" customHeight="1">
      <c r="A107" s="18" t="inlineStr">
        <is>
          <t>Build runner</t>
        </is>
      </c>
      <c r="B107" s="14">
        <f>B139</f>
        <v/>
      </c>
      <c r="C107" s="18" t="inlineStr">
        <is>
          <t>per build minute</t>
        </is>
      </c>
      <c r="D107" s="15">
        <f>SUMIFS($F$175:$F$201,$A$175:$A$201,I107,$B$175:$B$201,J107,$C$175:$C$201,A107)</f>
        <v/>
      </c>
      <c r="E107" s="18" t="inlineStr">
        <is>
          <t>one-time</t>
        </is>
      </c>
      <c r="F107" s="18" t="n">
        <v>1</v>
      </c>
      <c r="G107" s="18" t="inlineStr">
        <is>
          <t>Minutes × Rate</t>
        </is>
      </c>
      <c r="H107" s="20">
        <f>B107*D107</f>
        <v/>
      </c>
      <c r="I107" s="14">
        <f>$B$132</f>
        <v/>
      </c>
      <c r="J107" s="14">
        <f>$B$133</f>
        <v/>
      </c>
    </row>
    <row r="108" hidden="1" outlineLevel="1" ht="20" customHeight="1">
      <c r="A108" s="18" t="inlineStr">
        <is>
          <t>Managed database</t>
        </is>
      </c>
      <c r="B108" s="18">
        <f>SUMPRODUCT($G$118:$G$120,$I$118:$I$120)</f>
        <v/>
      </c>
      <c r="C108" s="18" t="inlineStr">
        <is>
          <t>per hour</t>
        </is>
      </c>
      <c r="D108" s="15">
        <f>SUMIFS($F$175:$F$201,$A$175:$A$201,I108,$B$175:$B$201,J108,$C$175:$C$201,A108)</f>
        <v/>
      </c>
      <c r="E108" s="18" t="inlineStr">
        <is>
          <t>runtime hours</t>
        </is>
      </c>
      <c r="F108" s="14">
        <f>$B$134</f>
        <v/>
      </c>
      <c r="G108" s="18" t="inlineStr">
        <is>
          <t>Resource-days × Rate × Hours/day</t>
        </is>
      </c>
      <c r="H108" s="20">
        <f>B108*D108*F108</f>
        <v/>
      </c>
      <c r="I108" s="14">
        <f>$B$132</f>
        <v/>
      </c>
      <c r="J108" s="14">
        <f>$B$133</f>
        <v/>
      </c>
    </row>
    <row r="109" hidden="1" outlineLevel="1" ht="20" customHeight="1">
      <c r="A109" s="18" t="inlineStr">
        <is>
          <t>Monitoring</t>
        </is>
      </c>
      <c r="B109" s="14">
        <f>B140</f>
        <v/>
      </c>
      <c r="C109" s="18" t="inlineStr">
        <is>
          <t>per GB</t>
        </is>
      </c>
      <c r="D109" s="15">
        <f>SUMIFS($F$175:$F$201,$A$175:$A$201,I109,$B$175:$B$201,J109,$C$175:$C$201,A109)</f>
        <v/>
      </c>
      <c r="E109" s="18" t="inlineStr">
        <is>
          <t>one-time</t>
        </is>
      </c>
      <c r="F109" s="18" t="n">
        <v>1</v>
      </c>
      <c r="G109" s="18" t="inlineStr">
        <is>
          <t>GB × Rate</t>
        </is>
      </c>
      <c r="H109" s="20">
        <f>B109*D109</f>
        <v/>
      </c>
      <c r="I109" s="14">
        <f>$B$132</f>
        <v/>
      </c>
      <c r="J109" s="14">
        <f>$B$133</f>
        <v/>
      </c>
    </row>
    <row r="110" hidden="1" outlineLevel="1" ht="20" customHeight="1"/>
    <row r="111" hidden="1" outlineLevel="1" ht="20" customHeight="1">
      <c r="A111" s="12" t="inlineStr">
        <is>
          <t>Total Infrastructure Cost</t>
        </is>
      </c>
      <c r="H111" s="21">
        <f>SUM(H101:H109)</f>
        <v/>
      </c>
    </row>
    <row r="114" hidden="1">
      <c r="A114" s="3" t="inlineStr">
        <is>
          <t>AWS — TOC Mapping</t>
        </is>
      </c>
    </row>
    <row r="115" hidden="1" outlineLevel="1" ht="28" customHeight="1">
      <c r="A115" s="11" t="inlineStr">
        <is>
          <t>Training TOC → Infrastructure Mapping</t>
        </is>
      </c>
    </row>
    <row r="116" hidden="1" outlineLevel="1" ht="20" customHeight="1"/>
    <row r="117" hidden="1" outlineLevel="1" ht="20" customHeight="1">
      <c r="A117" s="19" t="inlineStr">
        <is>
          <t>Day</t>
        </is>
      </c>
      <c r="B117" s="19" t="inlineStr">
        <is>
          <t>Training topic</t>
        </is>
      </c>
      <c r="C117" s="19" t="inlineStr">
        <is>
          <t>VM qty</t>
        </is>
      </c>
      <c r="D117" s="19" t="inlineStr">
        <is>
          <t>VM profile</t>
        </is>
      </c>
      <c r="E117" s="19" t="inlineStr">
        <is>
          <t>K8s control plane</t>
        </is>
      </c>
      <c r="F117" s="19" t="inlineStr">
        <is>
          <t>K8s worker nodes</t>
        </is>
      </c>
      <c r="G117" s="19" t="inlineStr">
        <is>
          <t>Managed DB</t>
        </is>
      </c>
      <c r="H117" s="19" t="inlineStr">
        <is>
          <t>Object storage</t>
        </is>
      </c>
      <c r="I117" s="19" t="inlineStr">
        <is>
          <t>Active days</t>
        </is>
      </c>
    </row>
    <row r="118" hidden="1" outlineLevel="1" ht="20" customHeight="1">
      <c r="A118" s="18" t="n">
        <v>1</v>
      </c>
      <c r="B118" s="18" t="inlineStr">
        <is>
          <t>Linux</t>
        </is>
      </c>
      <c r="C118" s="18" t="n">
        <v>10</v>
      </c>
      <c r="D118" s="18" t="inlineStr">
        <is>
          <t>Light</t>
        </is>
      </c>
      <c r="E118" s="18" t="n">
        <v>0</v>
      </c>
      <c r="F118" s="18" t="n">
        <v>0</v>
      </c>
      <c r="G118" s="18" t="n">
        <v>0</v>
      </c>
      <c r="H118" s="18" t="n">
        <v>0</v>
      </c>
      <c r="I118" s="18" t="n">
        <v>1</v>
      </c>
    </row>
    <row r="119" hidden="1" outlineLevel="1" ht="20" customHeight="1">
      <c r="A119" s="18" t="n">
        <v>2</v>
      </c>
      <c r="B119" s="18" t="inlineStr">
        <is>
          <t>Kubernetes</t>
        </is>
      </c>
      <c r="C119" s="18" t="n">
        <v>10</v>
      </c>
      <c r="D119" s="18" t="inlineStr">
        <is>
          <t>Heavy</t>
        </is>
      </c>
      <c r="E119" s="18" t="n">
        <v>1</v>
      </c>
      <c r="F119" s="18" t="n">
        <v>2</v>
      </c>
      <c r="G119" s="18" t="n">
        <v>1</v>
      </c>
      <c r="H119" s="18" t="n">
        <v>12</v>
      </c>
      <c r="I119" s="18" t="n">
        <v>2</v>
      </c>
    </row>
    <row r="120" hidden="1" outlineLevel="1" ht="20" customHeight="1">
      <c r="A120" s="18" t="n">
        <v>3</v>
      </c>
      <c r="B120" s="18" t="inlineStr">
        <is>
          <t>Local Docker</t>
        </is>
      </c>
      <c r="C120" s="18" t="n">
        <v>0</v>
      </c>
      <c r="D120" s="18" t="inlineStr">
        <is>
          <t>None</t>
        </is>
      </c>
      <c r="E120" s="18" t="n">
        <v>0</v>
      </c>
      <c r="F120" s="18" t="n">
        <v>0</v>
      </c>
      <c r="G120" s="18" t="n">
        <v>0</v>
      </c>
      <c r="H120" s="18" t="n">
        <v>0</v>
      </c>
      <c r="I120" s="18" t="n">
        <v>1</v>
      </c>
    </row>
    <row r="121" hidden="1" outlineLevel="1" ht="20" customHeight="1"/>
    <row r="122" hidden="1" outlineLevel="1" ht="20" customHeight="1">
      <c r="A122" s="12" t="inlineStr">
        <is>
          <t>Mapping note</t>
        </is>
      </c>
    </row>
    <row r="123" hidden="1" outlineLevel="1" ht="20" customHeight="1">
      <c r="A123" s="18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</row>
    <row r="124" hidden="1" outlineLevel="1" ht="20" customHeight="1"/>
    <row r="127" hidden="1">
      <c r="A127" s="3" t="inlineStr">
        <is>
          <t>AWS — Assumptions</t>
        </is>
      </c>
    </row>
    <row r="128" hidden="1" outlineLevel="1" ht="28" customHeight="1">
      <c r="A128" s="11" t="inlineStr">
        <is>
          <t>Lab Cost Model – Assumptions</t>
        </is>
      </c>
    </row>
    <row r="129" hidden="1" outlineLevel="1" ht="20" customHeight="1"/>
    <row r="130" hidden="1" outlineLevel="1" ht="20" customHeight="1">
      <c r="A130" s="19" t="inlineStr">
        <is>
          <t>Assumption</t>
        </is>
      </c>
      <c r="B130" s="19" t="inlineStr">
        <is>
          <t>Value</t>
        </is>
      </c>
      <c r="C130" s="19" t="inlineStr">
        <is>
          <t>Unit / Option</t>
        </is>
      </c>
      <c r="D130" s="19" t="inlineStr">
        <is>
          <t>Notes</t>
        </is>
      </c>
    </row>
    <row r="131" hidden="1" outlineLevel="1" ht="20" customHeight="1">
      <c r="A131" s="13" t="inlineStr">
        <is>
          <t>Training title</t>
        </is>
      </c>
      <c r="B131" s="22" t="inlineStr">
        <is>
          <t>TEST FIXTURE - NOT A CLIENT QUOTE</t>
        </is>
      </c>
      <c r="C131" s="18" t="inlineStr">
        <is>
          <t>Text</t>
        </is>
      </c>
      <c r="D131" s="18" t="inlineStr">
        <is>
          <t>Client-facing title</t>
        </is>
      </c>
    </row>
    <row r="132" hidden="1" outlineLevel="1" ht="20" customHeight="1">
      <c r="A132" s="13" t="inlineStr">
        <is>
          <t>Cloud provider</t>
        </is>
      </c>
      <c r="B132" s="22" t="inlineStr">
        <is>
          <t>AWS</t>
        </is>
      </c>
      <c r="C132" s="18" t="inlineStr">
        <is>
          <t>AWS / Azure / GCP</t>
        </is>
      </c>
      <c r="D132" s="18" t="inlineStr">
        <is>
          <t>Select provider</t>
        </is>
      </c>
    </row>
    <row r="133" hidden="1" outlineLevel="1" ht="20" customHeight="1">
      <c r="A133" s="13" t="inlineStr">
        <is>
          <t>Region</t>
        </is>
      </c>
      <c r="B133" s="22" t="inlineStr">
        <is>
          <t>Mumbai</t>
        </is>
      </c>
      <c r="C133" s="18" t="inlineStr">
        <is>
          <t>Mumbai / Central India / GCP Mumbai</t>
        </is>
      </c>
      <c r="D133" s="18" t="inlineStr">
        <is>
          <t>Select matching region</t>
        </is>
      </c>
    </row>
    <row r="134" hidden="1" outlineLevel="1" ht="20" customHeight="1">
      <c r="A134" s="13" t="inlineStr">
        <is>
          <t>Hours per day</t>
        </is>
      </c>
      <c r="B134" s="22" t="n">
        <v>3</v>
      </c>
      <c r="C134" s="18" t="inlineStr">
        <is>
          <t>hours</t>
        </is>
      </c>
      <c r="D134" s="18" t="inlineStr">
        <is>
          <t>Lab runtime per training day</t>
        </is>
      </c>
    </row>
    <row r="135" hidden="1" outlineLevel="1" ht="20" customHeight="1">
      <c r="A135" s="13" t="inlineStr">
        <is>
          <t>Training days</t>
        </is>
      </c>
      <c r="B135" s="22" t="n">
        <v>4</v>
      </c>
      <c r="C135" s="18" t="inlineStr">
        <is>
          <t>days</t>
        </is>
      </c>
      <c r="D135" s="18" t="inlineStr">
        <is>
          <t>Total training days</t>
        </is>
      </c>
    </row>
    <row r="136" hidden="1" outlineLevel="1" ht="20" customHeight="1">
      <c r="A136" s="13" t="inlineStr">
        <is>
          <t>Participants</t>
        </is>
      </c>
      <c r="B136" s="22" t="n">
        <v>10</v>
      </c>
      <c r="C136" s="18" t="inlineStr">
        <is>
          <t>people</t>
        </is>
      </c>
      <c r="D136" s="18" t="inlineStr">
        <is>
          <t>Number of learners</t>
        </is>
      </c>
    </row>
    <row r="137" hidden="1" outlineLevel="1" ht="20" customHeight="1">
      <c r="A137" s="13" t="inlineStr">
        <is>
          <t>Storage GB</t>
        </is>
      </c>
      <c r="B137" s="22" t="n">
        <v>10</v>
      </c>
      <c r="C137" s="18" t="inlineStr">
        <is>
          <t>GB</t>
        </is>
      </c>
      <c r="D137" s="18" t="inlineStr">
        <is>
          <t>Object storage requirement</t>
        </is>
      </c>
    </row>
    <row r="138" hidden="1" outlineLevel="1" ht="20" customHeight="1">
      <c r="A138" s="13" t="inlineStr">
        <is>
          <t>Data egress GB</t>
        </is>
      </c>
      <c r="B138" s="22" t="n">
        <v>1</v>
      </c>
      <c r="C138" s="18" t="inlineStr">
        <is>
          <t>GB</t>
        </is>
      </c>
      <c r="D138" s="18" t="inlineStr">
        <is>
          <t>Estimated outbound transfer</t>
        </is>
      </c>
    </row>
    <row r="139" hidden="1" outlineLevel="1" ht="20" customHeight="1">
      <c r="A139" s="13" t="inlineStr">
        <is>
          <t>Build minutes</t>
        </is>
      </c>
      <c r="B139" s="22" t="n">
        <v>60</v>
      </c>
      <c r="C139" s="18" t="inlineStr">
        <is>
          <t>minutes</t>
        </is>
      </c>
      <c r="D139" s="18" t="inlineStr">
        <is>
          <t>CI/CD runner usage</t>
        </is>
      </c>
    </row>
    <row r="140" hidden="1" outlineLevel="1" ht="20" customHeight="1">
      <c r="A140" s="13" t="inlineStr">
        <is>
          <t>Monitoring GB</t>
        </is>
      </c>
      <c r="B140" s="22" t="n">
        <v>1</v>
      </c>
      <c r="C140" s="18" t="inlineStr">
        <is>
          <t>GB</t>
        </is>
      </c>
      <c r="D140" s="18" t="inlineStr">
        <is>
          <t>Monitoring/log ingestion</t>
        </is>
      </c>
    </row>
    <row r="141" hidden="1" outlineLevel="1" ht="20" customHeight="1">
      <c r="A141" s="13" t="inlineStr">
        <is>
          <t>Kubernetes worker nodes</t>
        </is>
      </c>
      <c r="B141" s="22" t="n">
        <v>1</v>
      </c>
      <c r="C141" s="18" t="inlineStr">
        <is>
          <t>nodes</t>
        </is>
      </c>
      <c r="D141" s="18" t="inlineStr">
        <is>
          <t>Worker count when Kubernetes is used</t>
        </is>
      </c>
    </row>
    <row r="142" hidden="1" outlineLevel="1" ht="20" customHeight="1">
      <c r="A142" s="13" t="inlineStr">
        <is>
          <t>USD-to-INR rate</t>
        </is>
      </c>
      <c r="B142" s="22" t="n">
        <v>90</v>
      </c>
      <c r="C142" s="18" t="inlineStr">
        <is>
          <t>INR/USD</t>
        </is>
      </c>
      <c r="D142" s="18" t="inlineStr">
        <is>
          <t>Update with current conversion rate</t>
        </is>
      </c>
    </row>
    <row r="143" hidden="1" outlineLevel="1" ht="20" customHeight="1">
      <c r="A143" s="13" t="inlineStr">
        <is>
          <t>Contingency percentage</t>
        </is>
      </c>
      <c r="B143" s="23" t="n">
        <v>0.1</v>
      </c>
      <c r="C143" s="18" t="inlineStr">
        <is>
          <t>%</t>
        </is>
      </c>
      <c r="D143" s="18" t="inlineStr">
        <is>
          <t>Risk buffer</t>
        </is>
      </c>
    </row>
    <row r="144" hidden="1" outlineLevel="1" ht="20" customHeight="1">
      <c r="A144" s="13" t="inlineStr">
        <is>
          <t>GST percentage</t>
        </is>
      </c>
      <c r="B144" s="23" t="n">
        <v>0.18</v>
      </c>
      <c r="C144" s="18" t="inlineStr">
        <is>
          <t>%</t>
        </is>
      </c>
      <c r="D144" s="18" t="inlineStr">
        <is>
          <t>India GST assumption</t>
        </is>
      </c>
    </row>
    <row r="145" hidden="1" outlineLevel="1" ht="20" customHeight="1">
      <c r="A145" s="13" t="inlineStr">
        <is>
          <t>Package</t>
        </is>
      </c>
      <c r="B145" s="22" t="inlineStr">
        <is>
          <t>Standard</t>
        </is>
      </c>
      <c r="C145" s="18" t="inlineStr">
        <is>
          <t>Basic / Standard / Advanced</t>
        </is>
      </c>
      <c r="D145" s="18" t="inlineStr">
        <is>
          <t>Controls support pricing</t>
        </is>
      </c>
    </row>
    <row r="146" hidden="1" outlineLevel="1" ht="20" customHeight="1">
      <c r="A146" s="13" t="inlineStr">
        <is>
          <t>Quote validity</t>
        </is>
      </c>
      <c r="B146" s="22" t="n">
        <v>7</v>
      </c>
      <c r="C146" s="18" t="inlineStr">
        <is>
          <t>days</t>
        </is>
      </c>
      <c r="D146" s="18" t="inlineStr">
        <is>
          <t>Validity from quote date</t>
        </is>
      </c>
    </row>
    <row r="147" hidden="1" outlineLevel="1" ht="20" customHeight="1">
      <c r="A147" s="13" t="inlineStr">
        <is>
          <t>Disk GB per VM / worker node</t>
        </is>
      </c>
      <c r="B147" s="22" t="n">
        <v>20</v>
      </c>
      <c r="C147" s="18" t="inlineStr">
        <is>
          <t>GB</t>
        </is>
      </c>
      <c r="D147" s="18" t="inlineStr">
        <is>
          <t>Explicit sizing assumption; replace with lab-template node sizing when supplied</t>
        </is>
      </c>
    </row>
    <row r="148" hidden="1" outlineLevel="1" ht="20" customHeight="1">
      <c r="A148" s="13" t="inlineStr">
        <is>
          <t>Applied support rate (INR / participant-day)</t>
        </is>
      </c>
      <c r="B148" s="22">
        <f>IF(B150="Basic",B151,IF(B150="Standard",B152,B153))</f>
        <v/>
      </c>
      <c r="C148" s="18" t="inlineStr">
        <is>
          <t>INR / participant-day</t>
        </is>
      </c>
      <c r="D148" s="18" t="inlineStr">
        <is>
          <t>Formula selects the applied support tier; total scales with participants and training days</t>
        </is>
      </c>
    </row>
    <row r="149" hidden="1" outlineLevel="1" ht="20" customHeight="1">
      <c r="A149" s="13" t="inlineStr">
        <is>
          <t>Advanced support threshold</t>
        </is>
      </c>
      <c r="B149" s="22" t="n">
        <v>400</v>
      </c>
      <c r="C149" s="18" t="inlineStr">
        <is>
          <t>participant-days</t>
        </is>
      </c>
      <c r="D149" s="18" t="inlineStr">
        <is>
          <t>At or above this engagement size, Standard is automatically quoted as Advanced support</t>
        </is>
      </c>
    </row>
    <row r="150" hidden="1" outlineLevel="1" ht="20" customHeight="1">
      <c r="A150" s="13" t="inlineStr">
        <is>
          <t>Applied support tier</t>
        </is>
      </c>
      <c r="B150" s="22">
        <f>IF(AND(B145="Standard",B136*B135&gt;=B149),"Advanced",B145)</f>
        <v/>
      </c>
      <c r="C150" s="18" t="inlineStr">
        <is>
          <t>tier</t>
        </is>
      </c>
      <c r="D150" s="18" t="inlineStr">
        <is>
          <t>Uses participant count × training days</t>
        </is>
      </c>
    </row>
    <row r="151" hidden="1" outlineLevel="1" ht="20" customHeight="1">
      <c r="A151" s="13" t="inlineStr">
        <is>
          <t>Basic support rate</t>
        </is>
      </c>
      <c r="B151" s="22" t="n">
        <v>0</v>
      </c>
      <c r="C151" s="18" t="inlineStr">
        <is>
          <t>INR / participant-day</t>
        </is>
      </c>
      <c r="D151" s="18" t="inlineStr">
        <is>
          <t>Editable commercial rate</t>
        </is>
      </c>
    </row>
    <row r="152" hidden="1" outlineLevel="1" ht="20" customHeight="1">
      <c r="A152" s="13" t="inlineStr">
        <is>
          <t>Standard support rate</t>
        </is>
      </c>
      <c r="B152" s="22" t="n">
        <v>0</v>
      </c>
      <c r="C152" s="18" t="inlineStr">
        <is>
          <t>INR / participant-day</t>
        </is>
      </c>
      <c r="D152" s="18" t="inlineStr">
        <is>
          <t>Editable commercial rate</t>
        </is>
      </c>
    </row>
    <row r="153" hidden="1" outlineLevel="1" ht="20" customHeight="1">
      <c r="A153" s="13" t="inlineStr">
        <is>
          <t>Advanced support rate</t>
        </is>
      </c>
      <c r="B153" s="22" t="n">
        <v>0</v>
      </c>
      <c r="C153" s="18" t="inlineStr">
        <is>
          <t>INR / participant-day</t>
        </is>
      </c>
      <c r="D153" s="18" t="inlineStr">
        <is>
          <t>Editable commercial rate</t>
        </is>
      </c>
    </row>
    <row r="154" hidden="1" outlineLevel="1" ht="20" customHeight="1">
      <c r="A154" s="13" t="inlineStr">
        <is>
          <t>VM profile pricing status</t>
        </is>
      </c>
      <c r="B154" s="22" t="inlineStr">
        <is>
          <t>Live profile rates supplied</t>
        </is>
      </c>
      <c r="C154" s="18" t="inlineStr">
        <is>
          <t>2026-09-21</t>
        </is>
      </c>
      <c r="D154" s="18" t="inlineStr">
        <is>
          <t>Enter vm_profile_rates and vm_profile_sources with current provider URLs before final client approval</t>
        </is>
      </c>
    </row>
    <row r="155" hidden="1" outlineLevel="1" ht="20" customHeight="1">
      <c r="A155" s="13" t="inlineStr">
        <is>
          <t>Rate snapshot ID</t>
        </is>
      </c>
      <c r="B155" s="22" t="inlineStr">
        <is>
          <t>synthetic-test-fixture</t>
        </is>
      </c>
      <c r="C155" s="18" t="inlineStr">
        <is>
          <t>audit ID</t>
        </is>
      </c>
      <c r="D155" s="18" t="inlineStr">
        <is>
          <t>Use this ID to retrieve the rate snapshot and calculation record</t>
        </is>
      </c>
    </row>
    <row r="156" hidden="1" outlineLevel="1" ht="20" customHeight="1">
      <c r="A156" s="13" t="inlineStr">
        <is>
          <t>Pricing status</t>
        </is>
      </c>
      <c r="B156" s="22" t="inlineStr">
        <is>
          <t>provider_api_verified_public_retail</t>
        </is>
      </c>
      <c r="C156" s="18" t="inlineStr">
        <is>
          <t>status</t>
        </is>
      </c>
      <c r="D156" s="18" t="inlineStr">
        <is>
          <t>Live SKU rates and official source URLs are required before final client approval</t>
        </is>
      </c>
    </row>
    <row r="157" hidden="1" outlineLevel="1" ht="20" customHeight="1">
      <c r="A157" s="13" t="inlineStr">
        <is>
          <t>FX attribution</t>
        </is>
      </c>
      <c r="B157" s="22" t="inlineStr">
        <is>
          <t>Not supplied</t>
        </is>
      </c>
      <c r="C157" s="18" t="inlineStr">
        <is>
          <t>URL</t>
        </is>
      </c>
      <c r="D157" s="18" t="inlineStr">
        <is>
          <t>Exchange-rate data provider</t>
        </is>
      </c>
    </row>
    <row r="158" hidden="1" outlineLevel="1" ht="20" customHeight="1">
      <c r="A158" s="13" t="inlineStr">
        <is>
          <t>USD/INR source</t>
        </is>
      </c>
      <c r="B158" s="22" t="inlineStr">
        <is>
          <t>https://example.com/test-only-fx</t>
        </is>
      </c>
      <c r="C158" s="18" t="inlineStr">
        <is>
          <t>URL</t>
        </is>
      </c>
      <c r="D158" s="18" t="inlineStr">
        <is>
          <t>Published exchange-rate source</t>
        </is>
      </c>
    </row>
    <row r="159" hidden="1" outlineLevel="1" ht="20" customHeight="1">
      <c r="A159" s="13" t="inlineStr">
        <is>
          <t>USD/INR observation date</t>
        </is>
      </c>
      <c r="B159" s="22" t="inlineStr">
        <is>
          <t>2026-09-21</t>
        </is>
      </c>
      <c r="C159" s="18" t="inlineStr">
        <is>
          <t>date</t>
        </is>
      </c>
      <c r="D159" s="18" t="inlineStr">
        <is>
          <t>Provider observation date</t>
        </is>
      </c>
    </row>
    <row r="160" hidden="1" outlineLevel="1" ht="20" customHeight="1">
      <c r="A160" s="13" t="inlineStr">
        <is>
          <t>USD/INR checked at</t>
        </is>
      </c>
      <c r="B160" s="22" t="inlineStr">
        <is>
          <t>Not supplied</t>
        </is>
      </c>
      <c r="C160" s="18" t="inlineStr">
        <is>
          <t>timestamp</t>
        </is>
      </c>
      <c r="D160" s="18" t="inlineStr">
        <is>
          <t>Lookup for this quote</t>
        </is>
      </c>
    </row>
    <row r="161" hidden="1" outlineLevel="1" ht="20" customHeight="1">
      <c r="A161" s="13" t="inlineStr">
        <is>
          <t>Rate source</t>
        </is>
      </c>
      <c r="B161" s="22" t="inlineStr">
        <is>
          <t>https://example.com/test-only</t>
        </is>
      </c>
      <c r="C161" s="18" t="inlineStr">
        <is>
          <t>URL</t>
        </is>
      </c>
      <c r="D161" s="18" t="inlineStr">
        <is>
          <t>Official provider pricing page or approved pricing-export URL</t>
        </is>
      </c>
    </row>
    <row r="162" hidden="1" outlineLevel="1" ht="20" customHeight="1">
      <c r="A162" s="13" t="inlineStr">
        <is>
          <t>Rates checked at (UTC)</t>
        </is>
      </c>
      <c r="B162" s="22" t="inlineStr">
        <is>
          <t>2026-09-21T00:00:00+00:00</t>
        </is>
      </c>
      <c r="C162" s="18" t="inlineStr">
        <is>
          <t>timestamp</t>
        </is>
      </c>
      <c r="D162" s="18" t="inlineStr">
        <is>
          <t>Rate snapshot timestamp</t>
        </is>
      </c>
    </row>
    <row r="163" hidden="1" outlineLevel="1" ht="20" customHeight="1">
      <c r="A163" s="13" t="inlineStr">
        <is>
          <t>Quote valid until (UTC)</t>
        </is>
      </c>
      <c r="B163" s="22" t="inlineStr">
        <is>
          <t>Not recorded</t>
        </is>
      </c>
      <c r="C163" s="18" t="inlineStr">
        <is>
          <t>timestamp</t>
        </is>
      </c>
      <c r="D163" s="18" t="inlineStr">
        <is>
          <t>Recalculate from current rates after this time</t>
        </is>
      </c>
    </row>
    <row r="164" hidden="1" outlineLevel="1" ht="20" customHeight="1">
      <c r="A164" s="13" t="inlineStr">
        <is>
          <t>Price-change review threshold</t>
        </is>
      </c>
      <c r="B164" s="22" t="n">
        <v>5</v>
      </c>
      <c r="C164" s="18" t="inlineStr">
        <is>
          <t>%</t>
        </is>
      </c>
      <c r="D164" s="18" t="inlineStr">
        <is>
          <t>Escalate for review when refreshed pricing changes beyond this threshold</t>
        </is>
      </c>
    </row>
    <row r="165" hidden="1" outlineLevel="1" ht="20" customHeight="1">
      <c r="A165" s="13" t="inlineStr">
        <is>
          <t>Lab architecture</t>
        </is>
      </c>
      <c r="B165" s="22" t="inlineStr">
        <is>
          <t>Caller-supplied per-day resource mapping</t>
        </is>
      </c>
      <c r="C165" s="18" t="inlineStr">
        <is>
          <t>assumption</t>
        </is>
      </c>
      <c r="D165" s="18" t="inlineStr">
        <is>
          <t>Quantities are total resources; learner VMs scale with participants, shared services do not</t>
        </is>
      </c>
    </row>
    <row r="166" hidden="1" outlineLevel="1" ht="20" customHeight="1">
      <c r="A166" s="13" t="inlineStr">
        <is>
          <t>FX status</t>
        </is>
      </c>
      <c r="B166" s="22" t="inlineStr">
        <is>
          <t>Published rate fetched for quote</t>
        </is>
      </c>
      <c r="C166" s="18" t="inlineStr">
        <is>
          <t>status</t>
        </is>
      </c>
      <c r="D166" s="18" t="inlineStr">
        <is>
          <t>Latest published observation; see FX date and source</t>
        </is>
      </c>
    </row>
    <row r="167" hidden="1" outlineLevel="1" ht="20" customHeight="1">
      <c r="A167" s="13" t="inlineStr">
        <is>
          <t>Support pricing status</t>
        </is>
      </c>
      <c r="B167" s="22" t="inlineStr">
        <is>
          <t>Unconfigured / zero charge</t>
        </is>
      </c>
      <c r="C167" s="18" t="inlineStr">
        <is>
          <t>status</t>
        </is>
      </c>
      <c r="D167" s="18" t="inlineStr">
        <is>
          <t>No support price is invented. Confirm the applied tier rate before client approval</t>
        </is>
      </c>
    </row>
    <row r="168" hidden="1" outlineLevel="1" ht="20" customHeight="1">
      <c r="A168" s="13" t="inlineStr">
        <is>
          <t>Quote approval status</t>
        </is>
      </c>
      <c r="B168" s="22" t="inlineStr">
        <is>
          <t>Draft — commercial review required</t>
        </is>
      </c>
      <c r="C168" s="18" t="inlineStr">
        <is>
          <t>status</t>
        </is>
      </c>
      <c r="D168" s="18" t="inlineStr">
        <is>
          <t>Provider verification covers selected resource rates only; confirm architecture, access hours, support, FX, taxes and exclusions</t>
        </is>
      </c>
    </row>
    <row r="171" hidden="1">
      <c r="A171" s="3" t="inlineStr">
        <is>
          <t>AWS — Rate Card</t>
        </is>
      </c>
    </row>
    <row r="172" hidden="1" outlineLevel="1" ht="28" customHeight="1">
      <c r="A172" s="11" t="inlineStr">
        <is>
          <t>Rate Card – Editable Provider Pricing</t>
        </is>
      </c>
    </row>
    <row r="173" hidden="1" outlineLevel="1" ht="20" customHeight="1"/>
    <row r="174" hidden="1" outlineLevel="1" ht="20" customHeight="1">
      <c r="A174" s="19" t="inlineStr">
        <is>
          <t>Provider</t>
        </is>
      </c>
      <c r="B174" s="19" t="inlineStr">
        <is>
          <t>Region</t>
        </is>
      </c>
      <c r="C174" s="19" t="inlineStr">
        <is>
          <t>Resource</t>
        </is>
      </c>
      <c r="D174" s="19" t="inlineStr">
        <is>
          <t>Billing unit</t>
        </is>
      </c>
      <c r="E174" s="19" t="inlineStr">
        <is>
          <t>USD rate</t>
        </is>
      </c>
      <c r="F174" s="19" t="inlineStr">
        <is>
          <t>INR rate</t>
        </is>
      </c>
      <c r="G174" s="19" t="inlineStr">
        <is>
          <t>Source URL</t>
        </is>
      </c>
      <c r="H174" s="19" t="inlineStr">
        <is>
          <t>Last verified date</t>
        </is>
      </c>
    </row>
    <row r="175" hidden="1" outlineLevel="1" ht="20" customHeight="1">
      <c r="A175" s="18" t="inlineStr">
        <is>
          <t>AWS</t>
        </is>
      </c>
      <c r="B175" s="18" t="inlineStr">
        <is>
          <t>Mumbai</t>
        </is>
      </c>
      <c r="C175" s="18" t="inlineStr">
        <is>
          <t>VM</t>
        </is>
      </c>
      <c r="D175" s="18" t="inlineStr">
        <is>
          <t>per hour</t>
        </is>
      </c>
      <c r="E175" s="24" t="n">
        <v>0.05</v>
      </c>
      <c r="F175" s="15">
        <f>E175*$B$142</f>
        <v/>
      </c>
      <c r="G175" s="18" t="inlineStr">
        <is>
          <t>https://aws.amazon.com/ec2/pricing/</t>
        </is>
      </c>
      <c r="H175" s="25" t="inlineStr">
        <is>
          <t>2026-09-03</t>
        </is>
      </c>
    </row>
    <row r="176" hidden="1" outlineLevel="1" ht="20" customHeight="1">
      <c r="A176" s="18" t="inlineStr">
        <is>
          <t>AWS</t>
        </is>
      </c>
      <c r="B176" s="18" t="inlineStr">
        <is>
          <t>Mumbai</t>
        </is>
      </c>
      <c r="C176" s="18" t="inlineStr">
        <is>
          <t>Kubernetes control plane</t>
        </is>
      </c>
      <c r="D176" s="18" t="inlineStr">
        <is>
          <t>per cluster-hour</t>
        </is>
      </c>
      <c r="E176" s="24" t="n">
        <v>0.1</v>
      </c>
      <c r="F176" s="15">
        <f>E176*$B$142</f>
        <v/>
      </c>
      <c r="G176" s="18" t="inlineStr">
        <is>
          <t>https://aws.amazon.com/eks/pricing/</t>
        </is>
      </c>
      <c r="H176" s="25" t="inlineStr">
        <is>
          <t>2026-09-03</t>
        </is>
      </c>
    </row>
    <row r="177" hidden="1" outlineLevel="1" ht="20" customHeight="1">
      <c r="A177" s="18" t="inlineStr">
        <is>
          <t>AWS</t>
        </is>
      </c>
      <c r="B177" s="18" t="inlineStr">
        <is>
          <t>Mumbai</t>
        </is>
      </c>
      <c r="C177" s="18" t="inlineStr">
        <is>
          <t>Kubernetes worker</t>
        </is>
      </c>
      <c r="D177" s="18" t="inlineStr">
        <is>
          <t>per VM-hour</t>
        </is>
      </c>
      <c r="E177" s="24" t="n">
        <v>0.05</v>
      </c>
      <c r="F177" s="15">
        <f>E177*$B$142</f>
        <v/>
      </c>
      <c r="G177" s="18" t="inlineStr">
        <is>
          <t>https://aws.amazon.com/ec2/pricing/</t>
        </is>
      </c>
      <c r="H177" s="25" t="inlineStr">
        <is>
          <t>2026-09-03</t>
        </is>
      </c>
    </row>
    <row r="178" hidden="1" outlineLevel="1" ht="20" customHeight="1">
      <c r="A178" s="18" t="inlineStr">
        <is>
          <t>AWS</t>
        </is>
      </c>
      <c r="B178" s="18" t="inlineStr">
        <is>
          <t>Mumbai</t>
        </is>
      </c>
      <c r="C178" s="18" t="inlineStr">
        <is>
          <t>Disk</t>
        </is>
      </c>
      <c r="D178" s="18" t="inlineStr">
        <is>
          <t>GB-month</t>
        </is>
      </c>
      <c r="E178" s="24" t="n">
        <v>0.08</v>
      </c>
      <c r="F178" s="15">
        <f>E178*$B$142</f>
        <v/>
      </c>
      <c r="G178" s="18" t="inlineStr">
        <is>
          <t>https://aws.amazon.com/ebs/pricing/</t>
        </is>
      </c>
      <c r="H178" s="25" t="inlineStr">
        <is>
          <t>2026-09-03</t>
        </is>
      </c>
    </row>
    <row r="179" hidden="1" outlineLevel="1" ht="20" customHeight="1">
      <c r="A179" s="18" t="inlineStr">
        <is>
          <t>AWS</t>
        </is>
      </c>
      <c r="B179" s="18" t="inlineStr">
        <is>
          <t>Mumbai</t>
        </is>
      </c>
      <c r="C179" s="18" t="inlineStr">
        <is>
          <t>Storage</t>
        </is>
      </c>
      <c r="D179" s="18" t="inlineStr">
        <is>
          <t>GB-month</t>
        </is>
      </c>
      <c r="E179" s="24" t="n">
        <v>0.023</v>
      </c>
      <c r="F179" s="15">
        <f>E179*$B$142</f>
        <v/>
      </c>
      <c r="G179" s="18" t="inlineStr">
        <is>
          <t>https://aws.amazon.com/s3/pricing/</t>
        </is>
      </c>
      <c r="H179" s="25" t="inlineStr">
        <is>
          <t>2026-09-03</t>
        </is>
      </c>
    </row>
    <row r="180" hidden="1" outlineLevel="1" ht="20" customHeight="1">
      <c r="A180" s="18" t="inlineStr">
        <is>
          <t>AWS</t>
        </is>
      </c>
      <c r="B180" s="18" t="inlineStr">
        <is>
          <t>Mumbai</t>
        </is>
      </c>
      <c r="C180" s="18" t="inlineStr">
        <is>
          <t>Egress</t>
        </is>
      </c>
      <c r="D180" s="18" t="inlineStr">
        <is>
          <t>per GB</t>
        </is>
      </c>
      <c r="E180" s="24" t="n">
        <v>0.09</v>
      </c>
      <c r="F180" s="15">
        <f>E180*$B$142</f>
        <v/>
      </c>
      <c r="G180" s="18" t="inlineStr">
        <is>
          <t>https://aws.amazon.com/ec2/pricing/on-demand/#Data_Transfer</t>
        </is>
      </c>
      <c r="H180" s="25" t="inlineStr">
        <is>
          <t>2026-09-03</t>
        </is>
      </c>
    </row>
    <row r="181" hidden="1" outlineLevel="1" ht="20" customHeight="1">
      <c r="A181" s="18" t="inlineStr">
        <is>
          <t>AWS</t>
        </is>
      </c>
      <c r="B181" s="18" t="inlineStr">
        <is>
          <t>Mumbai</t>
        </is>
      </c>
      <c r="C181" s="18" t="inlineStr">
        <is>
          <t>Build runner</t>
        </is>
      </c>
      <c r="D181" s="18" t="inlineStr">
        <is>
          <t>per build minute</t>
        </is>
      </c>
      <c r="E181" s="24" t="n">
        <v>0.008</v>
      </c>
      <c r="F181" s="15">
        <f>E181*$B$142</f>
        <v/>
      </c>
      <c r="G181" s="18" t="inlineStr">
        <is>
          <t>https://aws.amazon.com/codebuild/pricing/</t>
        </is>
      </c>
      <c r="H181" s="25" t="inlineStr">
        <is>
          <t>2026-09-03</t>
        </is>
      </c>
    </row>
    <row r="182" hidden="1" outlineLevel="1" ht="20" customHeight="1">
      <c r="A182" s="18" t="inlineStr">
        <is>
          <t>AWS</t>
        </is>
      </c>
      <c r="B182" s="18" t="inlineStr">
        <is>
          <t>Mumbai</t>
        </is>
      </c>
      <c r="C182" s="18" t="inlineStr">
        <is>
          <t>Managed database</t>
        </is>
      </c>
      <c r="D182" s="18" t="inlineStr">
        <is>
          <t>per hour</t>
        </is>
      </c>
      <c r="E182" s="24" t="n">
        <v>0.08</v>
      </c>
      <c r="F182" s="15">
        <f>E182*$B$142</f>
        <v/>
      </c>
      <c r="G182" s="18" t="inlineStr">
        <is>
          <t>https://aws.amazon.com/rds/pricing/</t>
        </is>
      </c>
      <c r="H182" s="25" t="inlineStr">
        <is>
          <t>2026-09-03</t>
        </is>
      </c>
    </row>
    <row r="183" hidden="1" outlineLevel="1" ht="20" customHeight="1">
      <c r="A183" s="18" t="inlineStr">
        <is>
          <t>AWS</t>
        </is>
      </c>
      <c r="B183" s="18" t="inlineStr">
        <is>
          <t>Mumbai</t>
        </is>
      </c>
      <c r="C183" s="18" t="inlineStr">
        <is>
          <t>Monitoring</t>
        </is>
      </c>
      <c r="D183" s="18" t="inlineStr">
        <is>
          <t>per GB</t>
        </is>
      </c>
      <c r="E183" s="24" t="n">
        <v>0.5</v>
      </c>
      <c r="F183" s="15">
        <f>E183*$B$142</f>
        <v/>
      </c>
      <c r="G183" s="18" t="inlineStr">
        <is>
          <t>https://aws.amazon.com/cloudwatch/pricing/</t>
        </is>
      </c>
      <c r="H183" s="25" t="inlineStr">
        <is>
          <t>2026-09-03</t>
        </is>
      </c>
    </row>
    <row r="184" hidden="1" outlineLevel="1" ht="20" customHeight="1">
      <c r="A184" s="18" t="inlineStr">
        <is>
          <t>Azure</t>
        </is>
      </c>
      <c r="B184" s="18" t="inlineStr">
        <is>
          <t>Central India</t>
        </is>
      </c>
      <c r="C184" s="18" t="inlineStr">
        <is>
          <t>VM</t>
        </is>
      </c>
      <c r="D184" s="18" t="inlineStr">
        <is>
          <t>per hour</t>
        </is>
      </c>
      <c r="G184" s="18" t="inlineStr">
        <is>
          <t>https://azure.microsoft.com/pricing/details/virtual-machines/</t>
        </is>
      </c>
      <c r="H184" s="25" t="inlineStr">
        <is>
          <t>Not priced for this quote</t>
        </is>
      </c>
    </row>
    <row r="185" hidden="1" outlineLevel="1" ht="20" customHeight="1">
      <c r="A185" s="18" t="inlineStr">
        <is>
          <t>Azure</t>
        </is>
      </c>
      <c r="B185" s="18" t="inlineStr">
        <is>
          <t>Central India</t>
        </is>
      </c>
      <c r="C185" s="18" t="inlineStr">
        <is>
          <t>Kubernetes control plane</t>
        </is>
      </c>
      <c r="D185" s="18" t="inlineStr">
        <is>
          <t>per cluster-hour</t>
        </is>
      </c>
      <c r="G185" s="18" t="inlineStr">
        <is>
          <t>https://azure.microsoft.com/pricing/details/kubernetes-service/</t>
        </is>
      </c>
      <c r="H185" s="25" t="inlineStr">
        <is>
          <t>Not priced for this quote</t>
        </is>
      </c>
    </row>
    <row r="186" hidden="1" outlineLevel="1" ht="20" customHeight="1">
      <c r="A186" s="18" t="inlineStr">
        <is>
          <t>Azure</t>
        </is>
      </c>
      <c r="B186" s="18" t="inlineStr">
        <is>
          <t>Central India</t>
        </is>
      </c>
      <c r="C186" s="18" t="inlineStr">
        <is>
          <t>Kubernetes worker</t>
        </is>
      </c>
      <c r="D186" s="18" t="inlineStr">
        <is>
          <t>per VM-hour</t>
        </is>
      </c>
      <c r="G186" s="18" t="inlineStr">
        <is>
          <t>https://azure.microsoft.com/pricing/details/virtual-machines/</t>
        </is>
      </c>
      <c r="H186" s="25" t="inlineStr">
        <is>
          <t>Not priced for this quote</t>
        </is>
      </c>
    </row>
    <row r="187" hidden="1" outlineLevel="1" ht="20" customHeight="1">
      <c r="A187" s="18" t="inlineStr">
        <is>
          <t>Azure</t>
        </is>
      </c>
      <c r="B187" s="18" t="inlineStr">
        <is>
          <t>Central India</t>
        </is>
      </c>
      <c r="C187" s="18" t="inlineStr">
        <is>
          <t>Disk</t>
        </is>
      </c>
      <c r="D187" s="18" t="inlineStr">
        <is>
          <t>GB-month</t>
        </is>
      </c>
      <c r="G187" s="18" t="inlineStr">
        <is>
          <t>https://azure.microsoft.com/pricing/details/managed-disks/</t>
        </is>
      </c>
      <c r="H187" s="25" t="inlineStr">
        <is>
          <t>Not priced for this quote</t>
        </is>
      </c>
    </row>
    <row r="188" hidden="1" outlineLevel="1" ht="20" customHeight="1">
      <c r="A188" s="18" t="inlineStr">
        <is>
          <t>Azure</t>
        </is>
      </c>
      <c r="B188" s="18" t="inlineStr">
        <is>
          <t>Central India</t>
        </is>
      </c>
      <c r="C188" s="18" t="inlineStr">
        <is>
          <t>Storage</t>
        </is>
      </c>
      <c r="D188" s="18" t="inlineStr">
        <is>
          <t>GB-month</t>
        </is>
      </c>
      <c r="G188" s="18" t="inlineStr">
        <is>
          <t>https://azure.microsoft.com/pricing/details/storage/blobs/</t>
        </is>
      </c>
      <c r="H188" s="25" t="inlineStr">
        <is>
          <t>Not priced for this quote</t>
        </is>
      </c>
    </row>
    <row r="189" hidden="1" outlineLevel="1" ht="20" customHeight="1">
      <c r="A189" s="18" t="inlineStr">
        <is>
          <t>Azure</t>
        </is>
      </c>
      <c r="B189" s="18" t="inlineStr">
        <is>
          <t>Central India</t>
        </is>
      </c>
      <c r="C189" s="18" t="inlineStr">
        <is>
          <t>Egress</t>
        </is>
      </c>
      <c r="D189" s="18" t="inlineStr">
        <is>
          <t>per GB</t>
        </is>
      </c>
      <c r="G189" s="18" t="inlineStr">
        <is>
          <t>https://azure.microsoft.com/pricing/details/bandwidth/</t>
        </is>
      </c>
      <c r="H189" s="25" t="inlineStr">
        <is>
          <t>Not priced for this quote</t>
        </is>
      </c>
    </row>
    <row r="190" hidden="1" outlineLevel="1" ht="20" customHeight="1">
      <c r="A190" s="18" t="inlineStr">
        <is>
          <t>Azure</t>
        </is>
      </c>
      <c r="B190" s="18" t="inlineStr">
        <is>
          <t>Central India</t>
        </is>
      </c>
      <c r="C190" s="18" t="inlineStr">
        <is>
          <t>Build runner</t>
        </is>
      </c>
      <c r="D190" s="18" t="inlineStr">
        <is>
          <t>per build minute</t>
        </is>
      </c>
      <c r="G190" s="18" t="inlineStr">
        <is>
          <t>https://azure.microsoft.com/pricing/details/devops/azure-devops-services/</t>
        </is>
      </c>
      <c r="H190" s="25" t="inlineStr">
        <is>
          <t>Not priced for this quote</t>
        </is>
      </c>
    </row>
    <row r="191" hidden="1" outlineLevel="1" ht="20" customHeight="1">
      <c r="A191" s="18" t="inlineStr">
        <is>
          <t>Azure</t>
        </is>
      </c>
      <c r="B191" s="18" t="inlineStr">
        <is>
          <t>Central India</t>
        </is>
      </c>
      <c r="C191" s="18" t="inlineStr">
        <is>
          <t>Managed database</t>
        </is>
      </c>
      <c r="D191" s="18" t="inlineStr">
        <is>
          <t>per hour</t>
        </is>
      </c>
      <c r="G191" s="18" t="inlineStr">
        <is>
          <t>https://azure.microsoft.com/pricing/details/azure-sql-database/</t>
        </is>
      </c>
      <c r="H191" s="25" t="inlineStr">
        <is>
          <t>Not priced for this quote</t>
        </is>
      </c>
    </row>
    <row r="192" hidden="1" outlineLevel="1" ht="20" customHeight="1">
      <c r="A192" s="18" t="inlineStr">
        <is>
          <t>Azure</t>
        </is>
      </c>
      <c r="B192" s="18" t="inlineStr">
        <is>
          <t>Central India</t>
        </is>
      </c>
      <c r="C192" s="18" t="inlineStr">
        <is>
          <t>Monitoring</t>
        </is>
      </c>
      <c r="D192" s="18" t="inlineStr">
        <is>
          <t>per GB</t>
        </is>
      </c>
      <c r="G192" s="18" t="inlineStr">
        <is>
          <t>https://azure.microsoft.com/pricing/details/monitor/</t>
        </is>
      </c>
      <c r="H192" s="25" t="inlineStr">
        <is>
          <t>Not priced for this quote</t>
        </is>
      </c>
    </row>
    <row r="193" hidden="1" outlineLevel="1" ht="20" customHeight="1">
      <c r="A193" s="18" t="inlineStr">
        <is>
          <t>GCP</t>
        </is>
      </c>
      <c r="B193" s="18" t="inlineStr">
        <is>
          <t>GCP Mumbai</t>
        </is>
      </c>
      <c r="C193" s="18" t="inlineStr">
        <is>
          <t>VM</t>
        </is>
      </c>
      <c r="D193" s="18" t="inlineStr">
        <is>
          <t>per hour</t>
        </is>
      </c>
      <c r="G193" s="18" t="inlineStr">
        <is>
          <t>https://cloud.google.com/compute/vm-instance-pricing</t>
        </is>
      </c>
      <c r="H193" s="25" t="inlineStr">
        <is>
          <t>Not priced for this quote</t>
        </is>
      </c>
    </row>
    <row r="194" hidden="1" outlineLevel="1" ht="20" customHeight="1">
      <c r="A194" s="18" t="inlineStr">
        <is>
          <t>GCP</t>
        </is>
      </c>
      <c r="B194" s="18" t="inlineStr">
        <is>
          <t>GCP Mumbai</t>
        </is>
      </c>
      <c r="C194" s="18" t="inlineStr">
        <is>
          <t>Kubernetes control plane</t>
        </is>
      </c>
      <c r="D194" s="18" t="inlineStr">
        <is>
          <t>per cluster-hour</t>
        </is>
      </c>
      <c r="G194" s="18" t="inlineStr">
        <is>
          <t>https://cloud.google.com/kubernetes-engine/pricing</t>
        </is>
      </c>
      <c r="H194" s="25" t="inlineStr">
        <is>
          <t>Not priced for this quote</t>
        </is>
      </c>
    </row>
    <row r="195" hidden="1" outlineLevel="1" ht="20" customHeight="1">
      <c r="A195" s="18" t="inlineStr">
        <is>
          <t>GCP</t>
        </is>
      </c>
      <c r="B195" s="18" t="inlineStr">
        <is>
          <t>GCP Mumbai</t>
        </is>
      </c>
      <c r="C195" s="18" t="inlineStr">
        <is>
          <t>Kubernetes worker</t>
        </is>
      </c>
      <c r="D195" s="18" t="inlineStr">
        <is>
          <t>per VM-hour</t>
        </is>
      </c>
      <c r="G195" s="18" t="inlineStr">
        <is>
          <t>https://cloud.google.com/compute/vm-instance-pricing</t>
        </is>
      </c>
      <c r="H195" s="25" t="inlineStr">
        <is>
          <t>Not priced for this quote</t>
        </is>
      </c>
    </row>
    <row r="196" hidden="1" outlineLevel="1" ht="20" customHeight="1">
      <c r="A196" s="18" t="inlineStr">
        <is>
          <t>GCP</t>
        </is>
      </c>
      <c r="B196" s="18" t="inlineStr">
        <is>
          <t>GCP Mumbai</t>
        </is>
      </c>
      <c r="C196" s="18" t="inlineStr">
        <is>
          <t>Disk</t>
        </is>
      </c>
      <c r="D196" s="18" t="inlineStr">
        <is>
          <t>GB-month</t>
        </is>
      </c>
      <c r="G196" s="18" t="inlineStr">
        <is>
          <t>https://cloud.google.com/compute/disks-image-pricing</t>
        </is>
      </c>
      <c r="H196" s="25" t="inlineStr">
        <is>
          <t>Not priced for this quote</t>
        </is>
      </c>
    </row>
    <row r="197" hidden="1" outlineLevel="1" ht="20" customHeight="1">
      <c r="A197" s="18" t="inlineStr">
        <is>
          <t>GCP</t>
        </is>
      </c>
      <c r="B197" s="18" t="inlineStr">
        <is>
          <t>GCP Mumbai</t>
        </is>
      </c>
      <c r="C197" s="18" t="inlineStr">
        <is>
          <t>Storage</t>
        </is>
      </c>
      <c r="D197" s="18" t="inlineStr">
        <is>
          <t>GB-month</t>
        </is>
      </c>
      <c r="G197" s="18" t="inlineStr">
        <is>
          <t>https://cloud.google.com/storage/pricing</t>
        </is>
      </c>
      <c r="H197" s="25" t="inlineStr">
        <is>
          <t>Not priced for this quote</t>
        </is>
      </c>
    </row>
    <row r="198" hidden="1" outlineLevel="1" ht="20" customHeight="1">
      <c r="A198" s="18" t="inlineStr">
        <is>
          <t>GCP</t>
        </is>
      </c>
      <c r="B198" s="18" t="inlineStr">
        <is>
          <t>GCP Mumbai</t>
        </is>
      </c>
      <c r="C198" s="18" t="inlineStr">
        <is>
          <t>Egress</t>
        </is>
      </c>
      <c r="D198" s="18" t="inlineStr">
        <is>
          <t>per GB</t>
        </is>
      </c>
      <c r="G198" s="18" t="inlineStr">
        <is>
          <t>https://cloud.google.com/vpc/network-pricing</t>
        </is>
      </c>
      <c r="H198" s="25" t="inlineStr">
        <is>
          <t>Not priced for this quote</t>
        </is>
      </c>
    </row>
    <row r="199" hidden="1" outlineLevel="1" ht="20" customHeight="1">
      <c r="A199" s="18" t="inlineStr">
        <is>
          <t>GCP</t>
        </is>
      </c>
      <c r="B199" s="18" t="inlineStr">
        <is>
          <t>GCP Mumbai</t>
        </is>
      </c>
      <c r="C199" s="18" t="inlineStr">
        <is>
          <t>Build runner</t>
        </is>
      </c>
      <c r="D199" s="18" t="inlineStr">
        <is>
          <t>per build minute</t>
        </is>
      </c>
      <c r="G199" s="18" t="inlineStr">
        <is>
          <t>https://cloud.google.com/build/pricing</t>
        </is>
      </c>
      <c r="H199" s="25" t="inlineStr">
        <is>
          <t>Not priced for this quote</t>
        </is>
      </c>
    </row>
    <row r="200" hidden="1" outlineLevel="1" ht="20" customHeight="1">
      <c r="A200" s="18" t="inlineStr">
        <is>
          <t>GCP</t>
        </is>
      </c>
      <c r="B200" s="18" t="inlineStr">
        <is>
          <t>GCP Mumbai</t>
        </is>
      </c>
      <c r="C200" s="18" t="inlineStr">
        <is>
          <t>Managed database</t>
        </is>
      </c>
      <c r="D200" s="18" t="inlineStr">
        <is>
          <t>per hour</t>
        </is>
      </c>
      <c r="G200" s="18" t="inlineStr">
        <is>
          <t>https://cloud.google.com/sql/pricing</t>
        </is>
      </c>
      <c r="H200" s="25" t="inlineStr">
        <is>
          <t>Not priced for this quote</t>
        </is>
      </c>
    </row>
    <row r="201" hidden="1" outlineLevel="1" ht="20" customHeight="1">
      <c r="A201" s="18" t="inlineStr">
        <is>
          <t>GCP</t>
        </is>
      </c>
      <c r="B201" s="18" t="inlineStr">
        <is>
          <t>GCP Mumbai</t>
        </is>
      </c>
      <c r="C201" s="18" t="inlineStr">
        <is>
          <t>Monitoring</t>
        </is>
      </c>
      <c r="D201" s="18" t="inlineStr">
        <is>
          <t>per GB</t>
        </is>
      </c>
      <c r="G201" s="18" t="inlineStr">
        <is>
          <t>https://cloud.google.com/stackdriver/pricing</t>
        </is>
      </c>
      <c r="H201" s="25" t="inlineStr">
        <is>
          <t>Not priced for this quote</t>
        </is>
      </c>
    </row>
    <row r="202" hidden="1" outlineLevel="1" ht="20" customHeight="1">
      <c r="A202" s="18" t="inlineStr">
        <is>
          <t>AWS</t>
        </is>
      </c>
      <c r="B202" s="18" t="inlineStr">
        <is>
          <t>Mumbai</t>
        </is>
      </c>
      <c r="C202" s="18" t="inlineStr">
        <is>
          <t>VM Light</t>
        </is>
      </c>
      <c r="D202" s="18" t="inlineStr">
        <is>
          <t>per hour</t>
        </is>
      </c>
      <c r="E202" s="24" t="n">
        <v>0.05</v>
      </c>
      <c r="F202" s="15">
        <f>E202*$B$142</f>
        <v/>
      </c>
      <c r="G202" s="18" t="inlineStr">
        <is>
          <t>https://example.com/test</t>
        </is>
      </c>
      <c r="H202" s="25" t="inlineStr">
        <is>
          <t>2026-09-21</t>
        </is>
      </c>
    </row>
    <row r="203" hidden="1" outlineLevel="1" ht="20" customHeight="1">
      <c r="A203" s="18" t="inlineStr">
        <is>
          <t>AWS</t>
        </is>
      </c>
      <c r="B203" s="18" t="inlineStr">
        <is>
          <t>Mumbai</t>
        </is>
      </c>
      <c r="C203" s="18" t="inlineStr">
        <is>
          <t>VM Heavy</t>
        </is>
      </c>
      <c r="D203" s="18" t="inlineStr">
        <is>
          <t>per hour</t>
        </is>
      </c>
      <c r="E203" s="24" t="n">
        <v>0.2</v>
      </c>
      <c r="F203" s="15">
        <f>E203*$B$142</f>
        <v/>
      </c>
      <c r="G203" s="18" t="inlineStr">
        <is>
          <t>https://example.com/test</t>
        </is>
      </c>
      <c r="H203" s="25" t="inlineStr">
        <is>
          <t>2026-09-21</t>
        </is>
      </c>
    </row>
    <row r="206" hidden="1">
      <c r="A206" s="3" t="inlineStr">
        <is>
          <t>AZURE — Client Estimate</t>
        </is>
      </c>
    </row>
    <row r="207" hidden="1" outlineLevel="1" ht="28" customHeight="1">
      <c r="A207" s="11" t="inlineStr">
        <is>
          <t>Client Lab Cost Estimate</t>
        </is>
      </c>
    </row>
    <row r="208" hidden="1" outlineLevel="1" ht="20" customHeight="1"/>
    <row r="209" hidden="1" outlineLevel="1" ht="20" customHeight="1">
      <c r="A209" s="12" t="inlineStr">
        <is>
          <t>CLIENT QUOTE SUMMARY</t>
        </is>
      </c>
    </row>
    <row r="210" hidden="1" outlineLevel="1" ht="20" customHeight="1">
      <c r="A210" s="13" t="inlineStr">
        <is>
          <t>Training title</t>
        </is>
      </c>
      <c r="B210" s="14">
        <f>B262</f>
        <v/>
      </c>
    </row>
    <row r="211" hidden="1" outlineLevel="1" ht="20" customHeight="1">
      <c r="A211" s="13" t="inlineStr">
        <is>
          <t>Cloud provider and region</t>
        </is>
      </c>
      <c r="B211" s="14">
        <f>B263&amp;" – "&amp;B264</f>
        <v/>
      </c>
    </row>
    <row r="212" hidden="1" outlineLevel="1" ht="20" customHeight="1">
      <c r="A212" s="13" t="inlineStr">
        <is>
          <t>Number of participants</t>
        </is>
      </c>
      <c r="B212" s="14">
        <f>B267</f>
        <v/>
      </c>
    </row>
    <row r="213" hidden="1" outlineLevel="1" ht="20" customHeight="1">
      <c r="A213" s="13" t="inlineStr">
        <is>
          <t>Training days and hours/day</t>
        </is>
      </c>
      <c r="B213" s="14">
        <f>B266&amp;" days × "&amp;B265&amp;" hours/day"</f>
        <v/>
      </c>
    </row>
    <row r="214" hidden="1" outlineLevel="1" ht="20" customHeight="1">
      <c r="A214" s="13" t="inlineStr">
        <is>
          <t>Infrastructure cost</t>
        </is>
      </c>
      <c r="B214" s="15">
        <f>H242</f>
        <v/>
      </c>
    </row>
    <row r="215" hidden="1" outlineLevel="1" ht="20" customHeight="1">
      <c r="A215" s="13" t="inlineStr">
        <is>
          <t>Support cost</t>
        </is>
      </c>
      <c r="B215" s="15">
        <f>B279*B267*B266</f>
        <v/>
      </c>
    </row>
    <row r="216" hidden="1" outlineLevel="1" ht="20" customHeight="1">
      <c r="A216" s="13" t="inlineStr">
        <is>
          <t>Contingency</t>
        </is>
      </c>
      <c r="B216" s="15">
        <f>(B214+B215)*B274</f>
        <v/>
      </c>
    </row>
    <row r="217" hidden="1" outlineLevel="1" ht="20" customHeight="1">
      <c r="A217" s="13" t="inlineStr">
        <is>
          <t>Tax / GST</t>
        </is>
      </c>
      <c r="B217" s="15">
        <f>(B214+B215+B216)*B275</f>
        <v/>
      </c>
    </row>
    <row r="218" hidden="1" outlineLevel="1" ht="20" customHeight="1">
      <c r="A218" s="16" t="inlineStr">
        <is>
          <t>Final estimated cost</t>
        </is>
      </c>
      <c r="B218" s="17">
        <f>SUM(B214:B217)*(1+0.3)</f>
        <v/>
      </c>
    </row>
    <row r="219" hidden="1" outlineLevel="1" ht="20" customHeight="1">
      <c r="A219" s="16" t="inlineStr">
        <is>
          <t>Cost per participant</t>
        </is>
      </c>
      <c r="B219" s="17">
        <f>B218/B267</f>
        <v/>
      </c>
    </row>
    <row r="220" hidden="1" outlineLevel="1" ht="20" customHeight="1">
      <c r="A220" s="13" t="inlineStr">
        <is>
          <t>Quote validity</t>
        </is>
      </c>
      <c r="B220" s="14">
        <f>B277&amp;" days from quote date"</f>
        <v/>
      </c>
    </row>
    <row r="221" hidden="1" outlineLevel="1" ht="20" customHeight="1"/>
    <row r="222" hidden="1" outlineLevel="1" ht="20" customHeight="1">
      <c r="A222" s="12" t="inlineStr">
        <is>
          <t>Estimate notes</t>
        </is>
      </c>
    </row>
    <row r="223" hidden="1" outlineLevel="1" ht="20" customHeight="1">
      <c r="A223" s="18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</row>
    <row r="224" hidden="1" outlineLevel="1" ht="20" customHeight="1"/>
    <row r="225" hidden="1" outlineLevel="1" ht="20" customHeight="1"/>
    <row r="228" hidden="1">
      <c r="A228" s="3" t="inlineStr">
        <is>
          <t>AZURE — Resource Cost Breakdown</t>
        </is>
      </c>
    </row>
    <row r="229" hidden="1" outlineLevel="1" ht="28" customHeight="1">
      <c r="A229" s="11" t="inlineStr">
        <is>
          <t>Resource Cost Breakdown – Billing-Unit Based</t>
        </is>
      </c>
    </row>
    <row r="230" hidden="1" outlineLevel="1" ht="20" customHeight="1"/>
    <row r="231" hidden="1" outlineLevel="1" ht="20" customHeight="1">
      <c r="A231" s="19" t="inlineStr">
        <is>
          <t>Resource</t>
        </is>
      </c>
      <c r="B231" s="19" t="inlineStr">
        <is>
          <t>Quantity</t>
        </is>
      </c>
      <c r="C231" s="19" t="inlineStr">
        <is>
          <t>Billing unit</t>
        </is>
      </c>
      <c r="D231" s="19" t="inlineStr">
        <is>
          <t>Rate (INR)</t>
        </is>
      </c>
      <c r="E231" s="19" t="inlineStr">
        <is>
          <t>Usage driver</t>
        </is>
      </c>
      <c r="F231" s="19" t="inlineStr">
        <is>
          <t>Days / Hours</t>
        </is>
      </c>
      <c r="G231" s="19" t="inlineStr">
        <is>
          <t>Formula basis</t>
        </is>
      </c>
      <c r="H231" s="19" t="inlineStr">
        <is>
          <t>Total (INR)</t>
        </is>
      </c>
      <c r="I231" s="19" t="inlineStr">
        <is>
          <t>Provider</t>
        </is>
      </c>
      <c r="J231" s="19" t="inlineStr">
        <is>
          <t>Region</t>
        </is>
      </c>
    </row>
    <row r="232" hidden="1" outlineLevel="1" ht="20" customHeight="1">
      <c r="A232" s="18" t="inlineStr">
        <is>
          <t>VM (profiled)</t>
        </is>
      </c>
      <c r="B232" s="18">
        <f>SUMPRODUCT($C$249:$C$251,$I$249:$I$251)</f>
        <v/>
      </c>
      <c r="C232" s="18" t="inlineStr">
        <is>
          <t>per hour</t>
        </is>
      </c>
      <c r="D232" s="15">
        <f>SUMIFS($F$306:$F$332,$A$306:$A$332,I232,$B$306:$B$332,J232,$C$306:$C$332,A232)</f>
        <v/>
      </c>
      <c r="E232" s="18" t="inlineStr">
        <is>
          <t>runtime hours</t>
        </is>
      </c>
      <c r="F232" s="14">
        <f>$B$265</f>
        <v/>
      </c>
      <c r="G232" s="18" t="inlineStr">
        <is>
          <t>Light/Heavy VM-days × respective rate × Hours/day</t>
        </is>
      </c>
      <c r="H232" s="20">
        <f>(SUMPRODUCT($C$249:$C$251,$I$249:$I$251,--($D$249:$D$251="Light"))*$F$333+SUMPRODUCT($C$249:$C$251,$I$249:$I$251,--($D$249:$D$251="Heavy"))*$F$334)*$B$265</f>
        <v/>
      </c>
      <c r="I232" s="14">
        <f>$B$263</f>
        <v/>
      </c>
      <c r="J232" s="14">
        <f>$B$264</f>
        <v/>
      </c>
    </row>
    <row r="233" hidden="1" outlineLevel="1" ht="20" customHeight="1">
      <c r="A233" s="18" t="inlineStr">
        <is>
          <t>Kubernetes control plane</t>
        </is>
      </c>
      <c r="B233" s="18">
        <f>SUMPRODUCT($E$249:$E$251,$I$249:$I$251)</f>
        <v/>
      </c>
      <c r="C233" s="18" t="inlineStr">
        <is>
          <t>per cluster-hour</t>
        </is>
      </c>
      <c r="D233" s="15">
        <f>SUMIFS($F$306:$F$332,$A$306:$A$332,I233,$B$306:$B$332,J233,$C$306:$C$332,A233)</f>
        <v/>
      </c>
      <c r="E233" s="18" t="inlineStr">
        <is>
          <t>runtime hours</t>
        </is>
      </c>
      <c r="F233" s="14">
        <f>$B$265</f>
        <v/>
      </c>
      <c r="G233" s="18" t="inlineStr">
        <is>
          <t>Resource-days × Rate × Hours/day</t>
        </is>
      </c>
      <c r="H233" s="20">
        <f>B233*D233*F233</f>
        <v/>
      </c>
      <c r="I233" s="14">
        <f>$B$263</f>
        <v/>
      </c>
      <c r="J233" s="14">
        <f>$B$264</f>
        <v/>
      </c>
    </row>
    <row r="234" hidden="1" outlineLevel="1" ht="20" customHeight="1">
      <c r="A234" s="18" t="inlineStr">
        <is>
          <t>Kubernetes worker</t>
        </is>
      </c>
      <c r="B234" s="14">
        <f>SUMPRODUCT($F$249:$F$251,$I$249:$I$251)</f>
        <v/>
      </c>
      <c r="C234" s="18" t="inlineStr">
        <is>
          <t>per VM-hour</t>
        </is>
      </c>
      <c r="D234" s="15">
        <f>SUMIFS($F$306:$F$332,$A$306:$A$332,I234,$B$306:$B$332,J234,$C$306:$C$332,A234)</f>
        <v/>
      </c>
      <c r="E234" s="18" t="inlineStr">
        <is>
          <t>runtime hours</t>
        </is>
      </c>
      <c r="F234" s="14">
        <f>$B$265</f>
        <v/>
      </c>
      <c r="G234" s="18" t="inlineStr">
        <is>
          <t>Resource-days × Rate × Hours/day</t>
        </is>
      </c>
      <c r="H234" s="20">
        <f>B234*D234*F234</f>
        <v/>
      </c>
      <c r="I234" s="14">
        <f>$B$263</f>
        <v/>
      </c>
      <c r="J234" s="14">
        <f>$B$264</f>
        <v/>
      </c>
    </row>
    <row r="235" hidden="1" outlineLevel="1" ht="20" customHeight="1">
      <c r="A235" s="18" t="inlineStr">
        <is>
          <t>Disk</t>
        </is>
      </c>
      <c r="B235" s="18">
        <f>SUMPRODUCT(($C$249:$C$251+$F$249:$F$251),$I$249:$I$251)*$B$278/30</f>
        <v/>
      </c>
      <c r="C235" s="18" t="inlineStr">
        <is>
          <t>GB-month</t>
        </is>
      </c>
      <c r="D235" s="15">
        <f>SUMIFS($F$306:$F$332,$A$306:$A$332,I235,$B$306:$B$332,J235,$C$306:$C$332,A235)</f>
        <v/>
      </c>
      <c r="E235" s="18" t="inlineStr">
        <is>
          <t>prorated days</t>
        </is>
      </c>
      <c r="F235" s="14" t="n">
        <v>1</v>
      </c>
      <c r="G235" s="18" t="inlineStr">
        <is>
          <t>GB-node-days × monthly rate / 30</t>
        </is>
      </c>
      <c r="H235" s="20">
        <f>B235*D235</f>
        <v/>
      </c>
      <c r="I235" s="14">
        <f>$B$263</f>
        <v/>
      </c>
      <c r="J235" s="14">
        <f>$B$264</f>
        <v/>
      </c>
    </row>
    <row r="236" hidden="1" outlineLevel="1" ht="20" customHeight="1">
      <c r="A236" s="18" t="inlineStr">
        <is>
          <t>Storage</t>
        </is>
      </c>
      <c r="B236" s="14">
        <f>SUMPRODUCT($H$249:$H$251,$I$249:$I$251)</f>
        <v/>
      </c>
      <c r="C236" s="18" t="inlineStr">
        <is>
          <t>GB-month</t>
        </is>
      </c>
      <c r="D236" s="15">
        <f>SUMIFS($F$306:$F$332,$A$306:$A$332,I236,$B$306:$B$332,J236,$C$306:$C$332,A236)</f>
        <v/>
      </c>
      <c r="E236" s="18" t="inlineStr">
        <is>
          <t>prorated days</t>
        </is>
      </c>
      <c r="F236" s="14" t="n">
        <v>1</v>
      </c>
      <c r="G236" s="18" t="inlineStr">
        <is>
          <t>GB-days × monthly rate / 30</t>
        </is>
      </c>
      <c r="H236" s="20">
        <f>B236*D236/30</f>
        <v/>
      </c>
      <c r="I236" s="14">
        <f>$B$263</f>
        <v/>
      </c>
      <c r="J236" s="14">
        <f>$B$264</f>
        <v/>
      </c>
    </row>
    <row r="237" hidden="1" outlineLevel="1" ht="20" customHeight="1">
      <c r="A237" s="18" t="inlineStr">
        <is>
          <t>Egress</t>
        </is>
      </c>
      <c r="B237" s="14">
        <f>B269</f>
        <v/>
      </c>
      <c r="C237" s="18" t="inlineStr">
        <is>
          <t>per GB</t>
        </is>
      </c>
      <c r="D237" s="15">
        <f>SUMIFS($F$306:$F$332,$A$306:$A$332,I237,$B$306:$B$332,J237,$C$306:$C$332,A237)</f>
        <v/>
      </c>
      <c r="E237" s="18" t="inlineStr">
        <is>
          <t>one-time</t>
        </is>
      </c>
      <c r="F237" s="18" t="n">
        <v>1</v>
      </c>
      <c r="G237" s="18" t="inlineStr">
        <is>
          <t>GB × Rate</t>
        </is>
      </c>
      <c r="H237" s="20">
        <f>B237*D237</f>
        <v/>
      </c>
      <c r="I237" s="14">
        <f>$B$263</f>
        <v/>
      </c>
      <c r="J237" s="14">
        <f>$B$264</f>
        <v/>
      </c>
    </row>
    <row r="238" hidden="1" outlineLevel="1" ht="20" customHeight="1">
      <c r="A238" s="18" t="inlineStr">
        <is>
          <t>Build runner</t>
        </is>
      </c>
      <c r="B238" s="14">
        <f>B270</f>
        <v/>
      </c>
      <c r="C238" s="18" t="inlineStr">
        <is>
          <t>per build minute</t>
        </is>
      </c>
      <c r="D238" s="15">
        <f>SUMIFS($F$306:$F$332,$A$306:$A$332,I238,$B$306:$B$332,J238,$C$306:$C$332,A238)</f>
        <v/>
      </c>
      <c r="E238" s="18" t="inlineStr">
        <is>
          <t>one-time</t>
        </is>
      </c>
      <c r="F238" s="18" t="n">
        <v>1</v>
      </c>
      <c r="G238" s="18" t="inlineStr">
        <is>
          <t>Minutes × Rate</t>
        </is>
      </c>
      <c r="H238" s="20">
        <f>B238*D238</f>
        <v/>
      </c>
      <c r="I238" s="14">
        <f>$B$263</f>
        <v/>
      </c>
      <c r="J238" s="14">
        <f>$B$264</f>
        <v/>
      </c>
    </row>
    <row r="239" hidden="1" outlineLevel="1" ht="20" customHeight="1">
      <c r="A239" s="18" t="inlineStr">
        <is>
          <t>Managed database</t>
        </is>
      </c>
      <c r="B239" s="18">
        <f>SUMPRODUCT($G$249:$G$251,$I$249:$I$251)</f>
        <v/>
      </c>
      <c r="C239" s="18" t="inlineStr">
        <is>
          <t>per hour</t>
        </is>
      </c>
      <c r="D239" s="15">
        <f>SUMIFS($F$306:$F$332,$A$306:$A$332,I239,$B$306:$B$332,J239,$C$306:$C$332,A239)</f>
        <v/>
      </c>
      <c r="E239" s="18" t="inlineStr">
        <is>
          <t>runtime hours</t>
        </is>
      </c>
      <c r="F239" s="14">
        <f>$B$265</f>
        <v/>
      </c>
      <c r="G239" s="18" t="inlineStr">
        <is>
          <t>Resource-days × Rate × Hours/day</t>
        </is>
      </c>
      <c r="H239" s="20">
        <f>B239*D239*F239</f>
        <v/>
      </c>
      <c r="I239" s="14">
        <f>$B$263</f>
        <v/>
      </c>
      <c r="J239" s="14">
        <f>$B$264</f>
        <v/>
      </c>
    </row>
    <row r="240" hidden="1" outlineLevel="1" ht="20" customHeight="1">
      <c r="A240" s="18" t="inlineStr">
        <is>
          <t>Monitoring</t>
        </is>
      </c>
      <c r="B240" s="14">
        <f>B271</f>
        <v/>
      </c>
      <c r="C240" s="18" t="inlineStr">
        <is>
          <t>per GB</t>
        </is>
      </c>
      <c r="D240" s="15">
        <f>SUMIFS($F$306:$F$332,$A$306:$A$332,I240,$B$306:$B$332,J240,$C$306:$C$332,A240)</f>
        <v/>
      </c>
      <c r="E240" s="18" t="inlineStr">
        <is>
          <t>one-time</t>
        </is>
      </c>
      <c r="F240" s="18" t="n">
        <v>1</v>
      </c>
      <c r="G240" s="18" t="inlineStr">
        <is>
          <t>GB × Rate</t>
        </is>
      </c>
      <c r="H240" s="20">
        <f>B240*D240</f>
        <v/>
      </c>
      <c r="I240" s="14">
        <f>$B$263</f>
        <v/>
      </c>
      <c r="J240" s="14">
        <f>$B$264</f>
        <v/>
      </c>
    </row>
    <row r="241" hidden="1" outlineLevel="1" ht="20" customHeight="1"/>
    <row r="242" hidden="1" outlineLevel="1" ht="20" customHeight="1">
      <c r="A242" s="12" t="inlineStr">
        <is>
          <t>Total Infrastructure Cost</t>
        </is>
      </c>
      <c r="H242" s="21">
        <f>SUM(H232:H240)</f>
        <v/>
      </c>
    </row>
    <row r="245" hidden="1">
      <c r="A245" s="3" t="inlineStr">
        <is>
          <t>AZURE — TOC Mapping</t>
        </is>
      </c>
    </row>
    <row r="246" hidden="1" outlineLevel="1" ht="28" customHeight="1">
      <c r="A246" s="11" t="inlineStr">
        <is>
          <t>Training TOC → Infrastructure Mapping</t>
        </is>
      </c>
    </row>
    <row r="247" hidden="1" outlineLevel="1" ht="20" customHeight="1"/>
    <row r="248" hidden="1" outlineLevel="1" ht="20" customHeight="1">
      <c r="A248" s="19" t="inlineStr">
        <is>
          <t>Day</t>
        </is>
      </c>
      <c r="B248" s="19" t="inlineStr">
        <is>
          <t>Training topic</t>
        </is>
      </c>
      <c r="C248" s="19" t="inlineStr">
        <is>
          <t>VM qty</t>
        </is>
      </c>
      <c r="D248" s="19" t="inlineStr">
        <is>
          <t>VM profile</t>
        </is>
      </c>
      <c r="E248" s="19" t="inlineStr">
        <is>
          <t>K8s control plane</t>
        </is>
      </c>
      <c r="F248" s="19" t="inlineStr">
        <is>
          <t>K8s worker nodes</t>
        </is>
      </c>
      <c r="G248" s="19" t="inlineStr">
        <is>
          <t>Managed DB</t>
        </is>
      </c>
      <c r="H248" s="19" t="inlineStr">
        <is>
          <t>Object storage</t>
        </is>
      </c>
      <c r="I248" s="19" t="inlineStr">
        <is>
          <t>Active days</t>
        </is>
      </c>
    </row>
    <row r="249" hidden="1" outlineLevel="1" ht="20" customHeight="1">
      <c r="A249" s="18" t="n">
        <v>1</v>
      </c>
      <c r="B249" s="18" t="inlineStr">
        <is>
          <t>Linux</t>
        </is>
      </c>
      <c r="C249" s="18" t="n">
        <v>10</v>
      </c>
      <c r="D249" s="18" t="inlineStr">
        <is>
          <t>Light</t>
        </is>
      </c>
      <c r="E249" s="18" t="n">
        <v>0</v>
      </c>
      <c r="F249" s="18" t="n">
        <v>0</v>
      </c>
      <c r="G249" s="18" t="n">
        <v>0</v>
      </c>
      <c r="H249" s="18" t="n">
        <v>0</v>
      </c>
      <c r="I249" s="18" t="n">
        <v>1</v>
      </c>
    </row>
    <row r="250" hidden="1" outlineLevel="1" ht="20" customHeight="1">
      <c r="A250" s="18" t="n">
        <v>2</v>
      </c>
      <c r="B250" s="18" t="inlineStr">
        <is>
          <t>Kubernetes</t>
        </is>
      </c>
      <c r="C250" s="18" t="n">
        <v>10</v>
      </c>
      <c r="D250" s="18" t="inlineStr">
        <is>
          <t>Heavy</t>
        </is>
      </c>
      <c r="E250" s="18" t="n">
        <v>1</v>
      </c>
      <c r="F250" s="18" t="n">
        <v>2</v>
      </c>
      <c r="G250" s="18" t="n">
        <v>1</v>
      </c>
      <c r="H250" s="18" t="n">
        <v>12</v>
      </c>
      <c r="I250" s="18" t="n">
        <v>2</v>
      </c>
    </row>
    <row r="251" hidden="1" outlineLevel="1" ht="20" customHeight="1">
      <c r="A251" s="18" t="n">
        <v>3</v>
      </c>
      <c r="B251" s="18" t="inlineStr">
        <is>
          <t>Local Docker</t>
        </is>
      </c>
      <c r="C251" s="18" t="n">
        <v>0</v>
      </c>
      <c r="D251" s="18" t="inlineStr">
        <is>
          <t>None</t>
        </is>
      </c>
      <c r="E251" s="18" t="n">
        <v>0</v>
      </c>
      <c r="F251" s="18" t="n">
        <v>0</v>
      </c>
      <c r="G251" s="18" t="n">
        <v>0</v>
      </c>
      <c r="H251" s="18" t="n">
        <v>0</v>
      </c>
      <c r="I251" s="18" t="n">
        <v>1</v>
      </c>
    </row>
    <row r="252" hidden="1" outlineLevel="1" ht="20" customHeight="1"/>
    <row r="253" hidden="1" outlineLevel="1" ht="20" customHeight="1">
      <c r="A253" s="12" t="inlineStr">
        <is>
          <t>Mapping note</t>
        </is>
      </c>
    </row>
    <row r="254" hidden="1" outlineLevel="1" ht="20" customHeight="1">
      <c r="A254" s="18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</row>
    <row r="255" hidden="1" outlineLevel="1" ht="20" customHeight="1"/>
    <row r="258" hidden="1">
      <c r="A258" s="3" t="inlineStr">
        <is>
          <t>AZURE — Assumptions</t>
        </is>
      </c>
    </row>
    <row r="259" hidden="1" outlineLevel="1" ht="28" customHeight="1">
      <c r="A259" s="11" t="inlineStr">
        <is>
          <t>Lab Cost Model – Assumptions</t>
        </is>
      </c>
    </row>
    <row r="260" hidden="1" outlineLevel="1" ht="20" customHeight="1"/>
    <row r="261" hidden="1" outlineLevel="1" ht="20" customHeight="1">
      <c r="A261" s="19" t="inlineStr">
        <is>
          <t>Assumption</t>
        </is>
      </c>
      <c r="B261" s="19" t="inlineStr">
        <is>
          <t>Value</t>
        </is>
      </c>
      <c r="C261" s="19" t="inlineStr">
        <is>
          <t>Unit / Option</t>
        </is>
      </c>
      <c r="D261" s="19" t="inlineStr">
        <is>
          <t>Notes</t>
        </is>
      </c>
    </row>
    <row r="262" hidden="1" outlineLevel="1" ht="20" customHeight="1">
      <c r="A262" s="13" t="inlineStr">
        <is>
          <t>Training title</t>
        </is>
      </c>
      <c r="B262" s="22" t="inlineStr">
        <is>
          <t>TEST FIXTURE - NOT A CLIENT QUOTE</t>
        </is>
      </c>
      <c r="C262" s="18" t="inlineStr">
        <is>
          <t>Text</t>
        </is>
      </c>
      <c r="D262" s="18" t="inlineStr">
        <is>
          <t>Client-facing title</t>
        </is>
      </c>
    </row>
    <row r="263" hidden="1" outlineLevel="1" ht="20" customHeight="1">
      <c r="A263" s="13" t="inlineStr">
        <is>
          <t>Cloud provider</t>
        </is>
      </c>
      <c r="B263" s="22" t="inlineStr">
        <is>
          <t>Azure</t>
        </is>
      </c>
      <c r="C263" s="18" t="inlineStr">
        <is>
          <t>AWS / Azure / GCP</t>
        </is>
      </c>
      <c r="D263" s="18" t="inlineStr">
        <is>
          <t>Select provider</t>
        </is>
      </c>
    </row>
    <row r="264" hidden="1" outlineLevel="1" ht="20" customHeight="1">
      <c r="A264" s="13" t="inlineStr">
        <is>
          <t>Region</t>
        </is>
      </c>
      <c r="B264" s="22" t="inlineStr">
        <is>
          <t>Central India</t>
        </is>
      </c>
      <c r="C264" s="18" t="inlineStr">
        <is>
          <t>Mumbai / Central India / GCP Mumbai</t>
        </is>
      </c>
      <c r="D264" s="18" t="inlineStr">
        <is>
          <t>Select matching region</t>
        </is>
      </c>
    </row>
    <row r="265" hidden="1" outlineLevel="1" ht="20" customHeight="1">
      <c r="A265" s="13" t="inlineStr">
        <is>
          <t>Hours per day</t>
        </is>
      </c>
      <c r="B265" s="22" t="n">
        <v>3</v>
      </c>
      <c r="C265" s="18" t="inlineStr">
        <is>
          <t>hours</t>
        </is>
      </c>
      <c r="D265" s="18" t="inlineStr">
        <is>
          <t>Lab runtime per training day</t>
        </is>
      </c>
    </row>
    <row r="266" hidden="1" outlineLevel="1" ht="20" customHeight="1">
      <c r="A266" s="13" t="inlineStr">
        <is>
          <t>Training days</t>
        </is>
      </c>
      <c r="B266" s="22" t="n">
        <v>4</v>
      </c>
      <c r="C266" s="18" t="inlineStr">
        <is>
          <t>days</t>
        </is>
      </c>
      <c r="D266" s="18" t="inlineStr">
        <is>
          <t>Total training days</t>
        </is>
      </c>
    </row>
    <row r="267" hidden="1" outlineLevel="1" ht="20" customHeight="1">
      <c r="A267" s="13" t="inlineStr">
        <is>
          <t>Participants</t>
        </is>
      </c>
      <c r="B267" s="22" t="n">
        <v>10</v>
      </c>
      <c r="C267" s="18" t="inlineStr">
        <is>
          <t>people</t>
        </is>
      </c>
      <c r="D267" s="18" t="inlineStr">
        <is>
          <t>Number of learners</t>
        </is>
      </c>
    </row>
    <row r="268" hidden="1" outlineLevel="1" ht="20" customHeight="1">
      <c r="A268" s="13" t="inlineStr">
        <is>
          <t>Storage GB</t>
        </is>
      </c>
      <c r="B268" s="22" t="n">
        <v>10</v>
      </c>
      <c r="C268" s="18" t="inlineStr">
        <is>
          <t>GB</t>
        </is>
      </c>
      <c r="D268" s="18" t="inlineStr">
        <is>
          <t>Object storage requirement</t>
        </is>
      </c>
    </row>
    <row r="269" hidden="1" outlineLevel="1" ht="20" customHeight="1">
      <c r="A269" s="13" t="inlineStr">
        <is>
          <t>Data egress GB</t>
        </is>
      </c>
      <c r="B269" s="22" t="n">
        <v>1</v>
      </c>
      <c r="C269" s="18" t="inlineStr">
        <is>
          <t>GB</t>
        </is>
      </c>
      <c r="D269" s="18" t="inlineStr">
        <is>
          <t>Estimated outbound transfer</t>
        </is>
      </c>
    </row>
    <row r="270" hidden="1" outlineLevel="1" ht="20" customHeight="1">
      <c r="A270" s="13" t="inlineStr">
        <is>
          <t>Build minutes</t>
        </is>
      </c>
      <c r="B270" s="22" t="n">
        <v>60</v>
      </c>
      <c r="C270" s="18" t="inlineStr">
        <is>
          <t>minutes</t>
        </is>
      </c>
      <c r="D270" s="18" t="inlineStr">
        <is>
          <t>CI/CD runner usage</t>
        </is>
      </c>
    </row>
    <row r="271" hidden="1" outlineLevel="1" ht="20" customHeight="1">
      <c r="A271" s="13" t="inlineStr">
        <is>
          <t>Monitoring GB</t>
        </is>
      </c>
      <c r="B271" s="22" t="n">
        <v>1</v>
      </c>
      <c r="C271" s="18" t="inlineStr">
        <is>
          <t>GB</t>
        </is>
      </c>
      <c r="D271" s="18" t="inlineStr">
        <is>
          <t>Monitoring/log ingestion</t>
        </is>
      </c>
    </row>
    <row r="272" hidden="1" outlineLevel="1" ht="20" customHeight="1">
      <c r="A272" s="13" t="inlineStr">
        <is>
          <t>Kubernetes worker nodes</t>
        </is>
      </c>
      <c r="B272" s="22" t="n">
        <v>1</v>
      </c>
      <c r="C272" s="18" t="inlineStr">
        <is>
          <t>nodes</t>
        </is>
      </c>
      <c r="D272" s="18" t="inlineStr">
        <is>
          <t>Worker count when Kubernetes is used</t>
        </is>
      </c>
    </row>
    <row r="273" hidden="1" outlineLevel="1" ht="20" customHeight="1">
      <c r="A273" s="13" t="inlineStr">
        <is>
          <t>USD-to-INR rate</t>
        </is>
      </c>
      <c r="B273" s="22" t="n">
        <v>90</v>
      </c>
      <c r="C273" s="18" t="inlineStr">
        <is>
          <t>INR/USD</t>
        </is>
      </c>
      <c r="D273" s="18" t="inlineStr">
        <is>
          <t>Update with current conversion rate</t>
        </is>
      </c>
    </row>
    <row r="274" hidden="1" outlineLevel="1" ht="20" customHeight="1">
      <c r="A274" s="13" t="inlineStr">
        <is>
          <t>Contingency percentage</t>
        </is>
      </c>
      <c r="B274" s="23" t="n">
        <v>0.1</v>
      </c>
      <c r="C274" s="18" t="inlineStr">
        <is>
          <t>%</t>
        </is>
      </c>
      <c r="D274" s="18" t="inlineStr">
        <is>
          <t>Risk buffer</t>
        </is>
      </c>
    </row>
    <row r="275" hidden="1" outlineLevel="1" ht="20" customHeight="1">
      <c r="A275" s="13" t="inlineStr">
        <is>
          <t>GST percentage</t>
        </is>
      </c>
      <c r="B275" s="23" t="n">
        <v>0.18</v>
      </c>
      <c r="C275" s="18" t="inlineStr">
        <is>
          <t>%</t>
        </is>
      </c>
      <c r="D275" s="18" t="inlineStr">
        <is>
          <t>India GST assumption</t>
        </is>
      </c>
    </row>
    <row r="276" hidden="1" outlineLevel="1" ht="20" customHeight="1">
      <c r="A276" s="13" t="inlineStr">
        <is>
          <t>Package</t>
        </is>
      </c>
      <c r="B276" s="22" t="inlineStr">
        <is>
          <t>Standard</t>
        </is>
      </c>
      <c r="C276" s="18" t="inlineStr">
        <is>
          <t>Basic / Standard / Advanced</t>
        </is>
      </c>
      <c r="D276" s="18" t="inlineStr">
        <is>
          <t>Controls support pricing</t>
        </is>
      </c>
    </row>
    <row r="277" hidden="1" outlineLevel="1" ht="20" customHeight="1">
      <c r="A277" s="13" t="inlineStr">
        <is>
          <t>Quote validity</t>
        </is>
      </c>
      <c r="B277" s="22" t="n">
        <v>7</v>
      </c>
      <c r="C277" s="18" t="inlineStr">
        <is>
          <t>days</t>
        </is>
      </c>
      <c r="D277" s="18" t="inlineStr">
        <is>
          <t>Validity from quote date</t>
        </is>
      </c>
    </row>
    <row r="278" hidden="1" outlineLevel="1" ht="20" customHeight="1">
      <c r="A278" s="13" t="inlineStr">
        <is>
          <t>Disk GB per VM / worker node</t>
        </is>
      </c>
      <c r="B278" s="22" t="n">
        <v>20</v>
      </c>
      <c r="C278" s="18" t="inlineStr">
        <is>
          <t>GB</t>
        </is>
      </c>
      <c r="D278" s="18" t="inlineStr">
        <is>
          <t>Explicit sizing assumption; replace with lab-template node sizing when supplied</t>
        </is>
      </c>
    </row>
    <row r="279" hidden="1" outlineLevel="1" ht="20" customHeight="1">
      <c r="A279" s="13" t="inlineStr">
        <is>
          <t>Applied support rate (INR / participant-day)</t>
        </is>
      </c>
      <c r="B279" s="22">
        <f>IF(B281="Basic",B282,IF(B281="Standard",B283,B284))</f>
        <v/>
      </c>
      <c r="C279" s="18" t="inlineStr">
        <is>
          <t>INR / participant-day</t>
        </is>
      </c>
      <c r="D279" s="18" t="inlineStr">
        <is>
          <t>Formula selects the applied support tier; total scales with participants and training days</t>
        </is>
      </c>
    </row>
    <row r="280" hidden="1" outlineLevel="1" ht="20" customHeight="1">
      <c r="A280" s="13" t="inlineStr">
        <is>
          <t>Advanced support threshold</t>
        </is>
      </c>
      <c r="B280" s="22" t="n">
        <v>400</v>
      </c>
      <c r="C280" s="18" t="inlineStr">
        <is>
          <t>participant-days</t>
        </is>
      </c>
      <c r="D280" s="18" t="inlineStr">
        <is>
          <t>At or above this engagement size, Standard is automatically quoted as Advanced support</t>
        </is>
      </c>
    </row>
    <row r="281" hidden="1" outlineLevel="1" ht="20" customHeight="1">
      <c r="A281" s="13" t="inlineStr">
        <is>
          <t>Applied support tier</t>
        </is>
      </c>
      <c r="B281" s="22">
        <f>IF(AND(B276="Standard",B267*B266&gt;=B280),"Advanced",B276)</f>
        <v/>
      </c>
      <c r="C281" s="18" t="inlineStr">
        <is>
          <t>tier</t>
        </is>
      </c>
      <c r="D281" s="18" t="inlineStr">
        <is>
          <t>Uses participant count × training days</t>
        </is>
      </c>
    </row>
    <row r="282" hidden="1" outlineLevel="1" ht="20" customHeight="1">
      <c r="A282" s="13" t="inlineStr">
        <is>
          <t>Basic support rate</t>
        </is>
      </c>
      <c r="B282" s="22" t="n">
        <v>0</v>
      </c>
      <c r="C282" s="18" t="inlineStr">
        <is>
          <t>INR / participant-day</t>
        </is>
      </c>
      <c r="D282" s="18" t="inlineStr">
        <is>
          <t>Editable commercial rate</t>
        </is>
      </c>
    </row>
    <row r="283" hidden="1" outlineLevel="1" ht="20" customHeight="1">
      <c r="A283" s="13" t="inlineStr">
        <is>
          <t>Standard support rate</t>
        </is>
      </c>
      <c r="B283" s="22" t="n">
        <v>0</v>
      </c>
      <c r="C283" s="18" t="inlineStr">
        <is>
          <t>INR / participant-day</t>
        </is>
      </c>
      <c r="D283" s="18" t="inlineStr">
        <is>
          <t>Editable commercial rate</t>
        </is>
      </c>
    </row>
    <row r="284" hidden="1" outlineLevel="1" ht="20" customHeight="1">
      <c r="A284" s="13" t="inlineStr">
        <is>
          <t>Advanced support rate</t>
        </is>
      </c>
      <c r="B284" s="22" t="n">
        <v>0</v>
      </c>
      <c r="C284" s="18" t="inlineStr">
        <is>
          <t>INR / participant-day</t>
        </is>
      </c>
      <c r="D284" s="18" t="inlineStr">
        <is>
          <t>Editable commercial rate</t>
        </is>
      </c>
    </row>
    <row r="285" hidden="1" outlineLevel="1" ht="20" customHeight="1">
      <c r="A285" s="13" t="inlineStr">
        <is>
          <t>VM profile pricing status</t>
        </is>
      </c>
      <c r="B285" s="22" t="inlineStr">
        <is>
          <t>Live profile rates supplied</t>
        </is>
      </c>
      <c r="C285" s="18" t="inlineStr">
        <is>
          <t>2026-09-21</t>
        </is>
      </c>
      <c r="D285" s="18" t="inlineStr">
        <is>
          <t>Enter vm_profile_rates and vm_profile_sources with current provider URLs before final client approval</t>
        </is>
      </c>
    </row>
    <row r="286" hidden="1" outlineLevel="1" ht="20" customHeight="1">
      <c r="A286" s="13" t="inlineStr">
        <is>
          <t>Rate snapshot ID</t>
        </is>
      </c>
      <c r="B286" s="22" t="inlineStr">
        <is>
          <t>synthetic-test-fixture</t>
        </is>
      </c>
      <c r="C286" s="18" t="inlineStr">
        <is>
          <t>audit ID</t>
        </is>
      </c>
      <c r="D286" s="18" t="inlineStr">
        <is>
          <t>Use this ID to retrieve the rate snapshot and calculation record</t>
        </is>
      </c>
    </row>
    <row r="287" hidden="1" outlineLevel="1" ht="20" customHeight="1">
      <c r="A287" s="13" t="inlineStr">
        <is>
          <t>Pricing status</t>
        </is>
      </c>
      <c r="B287" s="22" t="inlineStr">
        <is>
          <t>provider_api_verified_public_retail</t>
        </is>
      </c>
      <c r="C287" s="18" t="inlineStr">
        <is>
          <t>status</t>
        </is>
      </c>
      <c r="D287" s="18" t="inlineStr">
        <is>
          <t>Live SKU rates and official source URLs are required before final client approval</t>
        </is>
      </c>
    </row>
    <row r="288" hidden="1" outlineLevel="1" ht="20" customHeight="1">
      <c r="A288" s="13" t="inlineStr">
        <is>
          <t>FX attribution</t>
        </is>
      </c>
      <c r="B288" s="22" t="inlineStr">
        <is>
          <t>Not supplied</t>
        </is>
      </c>
      <c r="C288" s="18" t="inlineStr">
        <is>
          <t>URL</t>
        </is>
      </c>
      <c r="D288" s="18" t="inlineStr">
        <is>
          <t>Exchange-rate data provider</t>
        </is>
      </c>
    </row>
    <row r="289" hidden="1" outlineLevel="1" ht="20" customHeight="1">
      <c r="A289" s="13" t="inlineStr">
        <is>
          <t>USD/INR source</t>
        </is>
      </c>
      <c r="B289" s="22" t="inlineStr">
        <is>
          <t>https://example.com/test-only-fx</t>
        </is>
      </c>
      <c r="C289" s="18" t="inlineStr">
        <is>
          <t>URL</t>
        </is>
      </c>
      <c r="D289" s="18" t="inlineStr">
        <is>
          <t>Published exchange-rate source</t>
        </is>
      </c>
    </row>
    <row r="290" hidden="1" outlineLevel="1" ht="20" customHeight="1">
      <c r="A290" s="13" t="inlineStr">
        <is>
          <t>USD/INR observation date</t>
        </is>
      </c>
      <c r="B290" s="22" t="inlineStr">
        <is>
          <t>2026-09-21</t>
        </is>
      </c>
      <c r="C290" s="18" t="inlineStr">
        <is>
          <t>date</t>
        </is>
      </c>
      <c r="D290" s="18" t="inlineStr">
        <is>
          <t>Provider observation date</t>
        </is>
      </c>
    </row>
    <row r="291" hidden="1" outlineLevel="1" ht="20" customHeight="1">
      <c r="A291" s="13" t="inlineStr">
        <is>
          <t>USD/INR checked at</t>
        </is>
      </c>
      <c r="B291" s="22" t="inlineStr">
        <is>
          <t>Not supplied</t>
        </is>
      </c>
      <c r="C291" s="18" t="inlineStr">
        <is>
          <t>timestamp</t>
        </is>
      </c>
      <c r="D291" s="18" t="inlineStr">
        <is>
          <t>Lookup for this quote</t>
        </is>
      </c>
    </row>
    <row r="292" hidden="1" outlineLevel="1" ht="20" customHeight="1">
      <c r="A292" s="13" t="inlineStr">
        <is>
          <t>Rate source</t>
        </is>
      </c>
      <c r="B292" s="22" t="inlineStr">
        <is>
          <t>https://example.com/test-only</t>
        </is>
      </c>
      <c r="C292" s="18" t="inlineStr">
        <is>
          <t>URL</t>
        </is>
      </c>
      <c r="D292" s="18" t="inlineStr">
        <is>
          <t>Official provider pricing page or approved pricing-export URL</t>
        </is>
      </c>
    </row>
    <row r="293" hidden="1" outlineLevel="1" ht="20" customHeight="1">
      <c r="A293" s="13" t="inlineStr">
        <is>
          <t>Rates checked at (UTC)</t>
        </is>
      </c>
      <c r="B293" s="22" t="inlineStr">
        <is>
          <t>2026-09-21T00:00:00+00:00</t>
        </is>
      </c>
      <c r="C293" s="18" t="inlineStr">
        <is>
          <t>timestamp</t>
        </is>
      </c>
      <c r="D293" s="18" t="inlineStr">
        <is>
          <t>Rate snapshot timestamp</t>
        </is>
      </c>
    </row>
    <row r="294" hidden="1" outlineLevel="1" ht="20" customHeight="1">
      <c r="A294" s="13" t="inlineStr">
        <is>
          <t>Quote valid until (UTC)</t>
        </is>
      </c>
      <c r="B294" s="22" t="inlineStr">
        <is>
          <t>Not recorded</t>
        </is>
      </c>
      <c r="C294" s="18" t="inlineStr">
        <is>
          <t>timestamp</t>
        </is>
      </c>
      <c r="D294" s="18" t="inlineStr">
        <is>
          <t>Recalculate from current rates after this time</t>
        </is>
      </c>
    </row>
    <row r="295" hidden="1" outlineLevel="1" ht="20" customHeight="1">
      <c r="A295" s="13" t="inlineStr">
        <is>
          <t>Price-change review threshold</t>
        </is>
      </c>
      <c r="B295" s="22" t="n">
        <v>5</v>
      </c>
      <c r="C295" s="18" t="inlineStr">
        <is>
          <t>%</t>
        </is>
      </c>
      <c r="D295" s="18" t="inlineStr">
        <is>
          <t>Escalate for review when refreshed pricing changes beyond this threshold</t>
        </is>
      </c>
    </row>
    <row r="296" hidden="1" outlineLevel="1" ht="20" customHeight="1">
      <c r="A296" s="13" t="inlineStr">
        <is>
          <t>Lab architecture</t>
        </is>
      </c>
      <c r="B296" s="22" t="inlineStr">
        <is>
          <t>Caller-supplied per-day resource mapping</t>
        </is>
      </c>
      <c r="C296" s="18" t="inlineStr">
        <is>
          <t>assumption</t>
        </is>
      </c>
      <c r="D296" s="18" t="inlineStr">
        <is>
          <t>Quantities are total resources; learner VMs scale with participants, shared services do not</t>
        </is>
      </c>
    </row>
    <row r="297" hidden="1" outlineLevel="1" ht="20" customHeight="1">
      <c r="A297" s="13" t="inlineStr">
        <is>
          <t>FX status</t>
        </is>
      </c>
      <c r="B297" s="22" t="inlineStr">
        <is>
          <t>Published rate fetched for quote</t>
        </is>
      </c>
      <c r="C297" s="18" t="inlineStr">
        <is>
          <t>status</t>
        </is>
      </c>
      <c r="D297" s="18" t="inlineStr">
        <is>
          <t>Latest published observation; see FX date and source</t>
        </is>
      </c>
    </row>
    <row r="298" hidden="1" outlineLevel="1" ht="20" customHeight="1">
      <c r="A298" s="13" t="inlineStr">
        <is>
          <t>Support pricing status</t>
        </is>
      </c>
      <c r="B298" s="22" t="inlineStr">
        <is>
          <t>Unconfigured / zero charge</t>
        </is>
      </c>
      <c r="C298" s="18" t="inlineStr">
        <is>
          <t>status</t>
        </is>
      </c>
      <c r="D298" s="18" t="inlineStr">
        <is>
          <t>No support price is invented. Confirm the applied tier rate before client approval</t>
        </is>
      </c>
    </row>
    <row r="299" hidden="1" outlineLevel="1" ht="20" customHeight="1">
      <c r="A299" s="13" t="inlineStr">
        <is>
          <t>Quote approval status</t>
        </is>
      </c>
      <c r="B299" s="22" t="inlineStr">
        <is>
          <t>Draft — commercial review required</t>
        </is>
      </c>
      <c r="C299" s="18" t="inlineStr">
        <is>
          <t>status</t>
        </is>
      </c>
      <c r="D299" s="18" t="inlineStr">
        <is>
          <t>Provider verification covers selected resource rates only; confirm architecture, access hours, support, FX, taxes and exclusions</t>
        </is>
      </c>
    </row>
    <row r="302" hidden="1">
      <c r="A302" s="3" t="inlineStr">
        <is>
          <t>AZURE — Rate Card</t>
        </is>
      </c>
    </row>
    <row r="303" hidden="1" outlineLevel="1" ht="28" customHeight="1">
      <c r="A303" s="11" t="inlineStr">
        <is>
          <t>Rate Card – Editable Provider Pricing</t>
        </is>
      </c>
    </row>
    <row r="304" hidden="1" outlineLevel="1" ht="20" customHeight="1"/>
    <row r="305" hidden="1" outlineLevel="1" ht="20" customHeight="1">
      <c r="A305" s="19" t="inlineStr">
        <is>
          <t>Provider</t>
        </is>
      </c>
      <c r="B305" s="19" t="inlineStr">
        <is>
          <t>Region</t>
        </is>
      </c>
      <c r="C305" s="19" t="inlineStr">
        <is>
          <t>Resource</t>
        </is>
      </c>
      <c r="D305" s="19" t="inlineStr">
        <is>
          <t>Billing unit</t>
        </is>
      </c>
      <c r="E305" s="19" t="inlineStr">
        <is>
          <t>USD rate</t>
        </is>
      </c>
      <c r="F305" s="19" t="inlineStr">
        <is>
          <t>INR rate</t>
        </is>
      </c>
      <c r="G305" s="19" t="inlineStr">
        <is>
          <t>Source URL</t>
        </is>
      </c>
      <c r="H305" s="19" t="inlineStr">
        <is>
          <t>Last verified date</t>
        </is>
      </c>
    </row>
    <row r="306" hidden="1" outlineLevel="1" ht="20" customHeight="1">
      <c r="A306" s="18" t="inlineStr">
        <is>
          <t>AWS</t>
        </is>
      </c>
      <c r="B306" s="18" t="inlineStr">
        <is>
          <t>Mumbai</t>
        </is>
      </c>
      <c r="C306" s="18" t="inlineStr">
        <is>
          <t>VM</t>
        </is>
      </c>
      <c r="D306" s="18" t="inlineStr">
        <is>
          <t>per hour</t>
        </is>
      </c>
      <c r="G306" s="18" t="inlineStr">
        <is>
          <t>https://aws.amazon.com/ec2/pricing/</t>
        </is>
      </c>
      <c r="H306" s="25" t="inlineStr">
        <is>
          <t>Not priced for this quote</t>
        </is>
      </c>
    </row>
    <row r="307" hidden="1" outlineLevel="1" ht="20" customHeight="1">
      <c r="A307" s="18" t="inlineStr">
        <is>
          <t>AWS</t>
        </is>
      </c>
      <c r="B307" s="18" t="inlineStr">
        <is>
          <t>Mumbai</t>
        </is>
      </c>
      <c r="C307" s="18" t="inlineStr">
        <is>
          <t>Kubernetes control plane</t>
        </is>
      </c>
      <c r="D307" s="18" t="inlineStr">
        <is>
          <t>per cluster-hour</t>
        </is>
      </c>
      <c r="G307" s="18" t="inlineStr">
        <is>
          <t>https://aws.amazon.com/eks/pricing/</t>
        </is>
      </c>
      <c r="H307" s="25" t="inlineStr">
        <is>
          <t>Not priced for this quote</t>
        </is>
      </c>
    </row>
    <row r="308" hidden="1" outlineLevel="1" ht="20" customHeight="1">
      <c r="A308" s="18" t="inlineStr">
        <is>
          <t>AWS</t>
        </is>
      </c>
      <c r="B308" s="18" t="inlineStr">
        <is>
          <t>Mumbai</t>
        </is>
      </c>
      <c r="C308" s="18" t="inlineStr">
        <is>
          <t>Kubernetes worker</t>
        </is>
      </c>
      <c r="D308" s="18" t="inlineStr">
        <is>
          <t>per VM-hour</t>
        </is>
      </c>
      <c r="G308" s="18" t="inlineStr">
        <is>
          <t>https://aws.amazon.com/ec2/pricing/</t>
        </is>
      </c>
      <c r="H308" s="25" t="inlineStr">
        <is>
          <t>Not priced for this quote</t>
        </is>
      </c>
    </row>
    <row r="309" hidden="1" outlineLevel="1" ht="20" customHeight="1">
      <c r="A309" s="18" t="inlineStr">
        <is>
          <t>AWS</t>
        </is>
      </c>
      <c r="B309" s="18" t="inlineStr">
        <is>
          <t>Mumbai</t>
        </is>
      </c>
      <c r="C309" s="18" t="inlineStr">
        <is>
          <t>Disk</t>
        </is>
      </c>
      <c r="D309" s="18" t="inlineStr">
        <is>
          <t>GB-month</t>
        </is>
      </c>
      <c r="G309" s="18" t="inlineStr">
        <is>
          <t>https://aws.amazon.com/ebs/pricing/</t>
        </is>
      </c>
      <c r="H309" s="25" t="inlineStr">
        <is>
          <t>Not priced for this quote</t>
        </is>
      </c>
    </row>
    <row r="310" hidden="1" outlineLevel="1" ht="20" customHeight="1">
      <c r="A310" s="18" t="inlineStr">
        <is>
          <t>AWS</t>
        </is>
      </c>
      <c r="B310" s="18" t="inlineStr">
        <is>
          <t>Mumbai</t>
        </is>
      </c>
      <c r="C310" s="18" t="inlineStr">
        <is>
          <t>Storage</t>
        </is>
      </c>
      <c r="D310" s="18" t="inlineStr">
        <is>
          <t>GB-month</t>
        </is>
      </c>
      <c r="G310" s="18" t="inlineStr">
        <is>
          <t>https://aws.amazon.com/s3/pricing/</t>
        </is>
      </c>
      <c r="H310" s="25" t="inlineStr">
        <is>
          <t>Not priced for this quote</t>
        </is>
      </c>
    </row>
    <row r="311" hidden="1" outlineLevel="1" ht="20" customHeight="1">
      <c r="A311" s="18" t="inlineStr">
        <is>
          <t>AWS</t>
        </is>
      </c>
      <c r="B311" s="18" t="inlineStr">
        <is>
          <t>Mumbai</t>
        </is>
      </c>
      <c r="C311" s="18" t="inlineStr">
        <is>
          <t>Egress</t>
        </is>
      </c>
      <c r="D311" s="18" t="inlineStr">
        <is>
          <t>per GB</t>
        </is>
      </c>
      <c r="G311" s="18" t="inlineStr">
        <is>
          <t>https://aws.amazon.com/ec2/pricing/on-demand/#Data_Transfer</t>
        </is>
      </c>
      <c r="H311" s="25" t="inlineStr">
        <is>
          <t>Not priced for this quote</t>
        </is>
      </c>
    </row>
    <row r="312" hidden="1" outlineLevel="1" ht="20" customHeight="1">
      <c r="A312" s="18" t="inlineStr">
        <is>
          <t>AWS</t>
        </is>
      </c>
      <c r="B312" s="18" t="inlineStr">
        <is>
          <t>Mumbai</t>
        </is>
      </c>
      <c r="C312" s="18" t="inlineStr">
        <is>
          <t>Build runner</t>
        </is>
      </c>
      <c r="D312" s="18" t="inlineStr">
        <is>
          <t>per build minute</t>
        </is>
      </c>
      <c r="G312" s="18" t="inlineStr">
        <is>
          <t>https://aws.amazon.com/codebuild/pricing/</t>
        </is>
      </c>
      <c r="H312" s="25" t="inlineStr">
        <is>
          <t>Not priced for this quote</t>
        </is>
      </c>
    </row>
    <row r="313" hidden="1" outlineLevel="1" ht="20" customHeight="1">
      <c r="A313" s="18" t="inlineStr">
        <is>
          <t>AWS</t>
        </is>
      </c>
      <c r="B313" s="18" t="inlineStr">
        <is>
          <t>Mumbai</t>
        </is>
      </c>
      <c r="C313" s="18" t="inlineStr">
        <is>
          <t>Managed database</t>
        </is>
      </c>
      <c r="D313" s="18" t="inlineStr">
        <is>
          <t>per hour</t>
        </is>
      </c>
      <c r="G313" s="18" t="inlineStr">
        <is>
          <t>https://aws.amazon.com/rds/pricing/</t>
        </is>
      </c>
      <c r="H313" s="25" t="inlineStr">
        <is>
          <t>Not priced for this quote</t>
        </is>
      </c>
    </row>
    <row r="314" hidden="1" outlineLevel="1" ht="20" customHeight="1">
      <c r="A314" s="18" t="inlineStr">
        <is>
          <t>AWS</t>
        </is>
      </c>
      <c r="B314" s="18" t="inlineStr">
        <is>
          <t>Mumbai</t>
        </is>
      </c>
      <c r="C314" s="18" t="inlineStr">
        <is>
          <t>Monitoring</t>
        </is>
      </c>
      <c r="D314" s="18" t="inlineStr">
        <is>
          <t>per GB</t>
        </is>
      </c>
      <c r="G314" s="18" t="inlineStr">
        <is>
          <t>https://aws.amazon.com/cloudwatch/pricing/</t>
        </is>
      </c>
      <c r="H314" s="25" t="inlineStr">
        <is>
          <t>Not priced for this quote</t>
        </is>
      </c>
    </row>
    <row r="315" hidden="1" outlineLevel="1" ht="20" customHeight="1">
      <c r="A315" s="18" t="inlineStr">
        <is>
          <t>Azure</t>
        </is>
      </c>
      <c r="B315" s="18" t="inlineStr">
        <is>
          <t>Central India</t>
        </is>
      </c>
      <c r="C315" s="18" t="inlineStr">
        <is>
          <t>VM</t>
        </is>
      </c>
      <c r="D315" s="18" t="inlineStr">
        <is>
          <t>per hour</t>
        </is>
      </c>
      <c r="E315" s="24" t="n">
        <v>0.055</v>
      </c>
      <c r="F315" s="15">
        <f>E315*$B$273</f>
        <v/>
      </c>
      <c r="G315" s="18" t="inlineStr">
        <is>
          <t>https://azure.microsoft.com/pricing/details/virtual-machines/</t>
        </is>
      </c>
      <c r="H315" s="25" t="inlineStr">
        <is>
          <t>2026-09-03</t>
        </is>
      </c>
    </row>
    <row r="316" hidden="1" outlineLevel="1" ht="20" customHeight="1">
      <c r="A316" s="18" t="inlineStr">
        <is>
          <t>Azure</t>
        </is>
      </c>
      <c r="B316" s="18" t="inlineStr">
        <is>
          <t>Central India</t>
        </is>
      </c>
      <c r="C316" s="18" t="inlineStr">
        <is>
          <t>Kubernetes control plane</t>
        </is>
      </c>
      <c r="D316" s="18" t="inlineStr">
        <is>
          <t>per cluster-hour</t>
        </is>
      </c>
      <c r="E316" s="24" t="n">
        <v>0.1</v>
      </c>
      <c r="F316" s="15">
        <f>E316*$B$273</f>
        <v/>
      </c>
      <c r="G316" s="18" t="inlineStr">
        <is>
          <t>https://azure.microsoft.com/pricing/details/kubernetes-service/</t>
        </is>
      </c>
      <c r="H316" s="25" t="inlineStr">
        <is>
          <t>2026-09-03</t>
        </is>
      </c>
    </row>
    <row r="317" hidden="1" outlineLevel="1" ht="20" customHeight="1">
      <c r="A317" s="18" t="inlineStr">
        <is>
          <t>Azure</t>
        </is>
      </c>
      <c r="B317" s="18" t="inlineStr">
        <is>
          <t>Central India</t>
        </is>
      </c>
      <c r="C317" s="18" t="inlineStr">
        <is>
          <t>Kubernetes worker</t>
        </is>
      </c>
      <c r="D317" s="18" t="inlineStr">
        <is>
          <t>per VM-hour</t>
        </is>
      </c>
      <c r="E317" s="24" t="n">
        <v>0.055</v>
      </c>
      <c r="F317" s="15">
        <f>E317*$B$273</f>
        <v/>
      </c>
      <c r="G317" s="18" t="inlineStr">
        <is>
          <t>https://azure.microsoft.com/pricing/details/virtual-machines/</t>
        </is>
      </c>
      <c r="H317" s="25" t="inlineStr">
        <is>
          <t>2026-09-03</t>
        </is>
      </c>
    </row>
    <row r="318" hidden="1" outlineLevel="1" ht="20" customHeight="1">
      <c r="A318" s="18" t="inlineStr">
        <is>
          <t>Azure</t>
        </is>
      </c>
      <c r="B318" s="18" t="inlineStr">
        <is>
          <t>Central India</t>
        </is>
      </c>
      <c r="C318" s="18" t="inlineStr">
        <is>
          <t>Disk</t>
        </is>
      </c>
      <c r="D318" s="18" t="inlineStr">
        <is>
          <t>GB-month</t>
        </is>
      </c>
      <c r="E318" s="24" t="n">
        <v>0.09</v>
      </c>
      <c r="F318" s="15">
        <f>E318*$B$273</f>
        <v/>
      </c>
      <c r="G318" s="18" t="inlineStr">
        <is>
          <t>https://azure.microsoft.com/pricing/details/managed-disks/</t>
        </is>
      </c>
      <c r="H318" s="25" t="inlineStr">
        <is>
          <t>2026-09-03</t>
        </is>
      </c>
    </row>
    <row r="319" hidden="1" outlineLevel="1" ht="20" customHeight="1">
      <c r="A319" s="18" t="inlineStr">
        <is>
          <t>Azure</t>
        </is>
      </c>
      <c r="B319" s="18" t="inlineStr">
        <is>
          <t>Central India</t>
        </is>
      </c>
      <c r="C319" s="18" t="inlineStr">
        <is>
          <t>Storage</t>
        </is>
      </c>
      <c r="D319" s="18" t="inlineStr">
        <is>
          <t>GB-month</t>
        </is>
      </c>
      <c r="E319" s="24" t="n">
        <v>0.02</v>
      </c>
      <c r="F319" s="15">
        <f>E319*$B$273</f>
        <v/>
      </c>
      <c r="G319" s="18" t="inlineStr">
        <is>
          <t>https://azure.microsoft.com/pricing/details/storage/blobs/</t>
        </is>
      </c>
      <c r="H319" s="25" t="inlineStr">
        <is>
          <t>2026-09-03</t>
        </is>
      </c>
    </row>
    <row r="320" hidden="1" outlineLevel="1" ht="20" customHeight="1">
      <c r="A320" s="18" t="inlineStr">
        <is>
          <t>Azure</t>
        </is>
      </c>
      <c r="B320" s="18" t="inlineStr">
        <is>
          <t>Central India</t>
        </is>
      </c>
      <c r="C320" s="18" t="inlineStr">
        <is>
          <t>Egress</t>
        </is>
      </c>
      <c r="D320" s="18" t="inlineStr">
        <is>
          <t>per GB</t>
        </is>
      </c>
      <c r="E320" s="24" t="n">
        <v>0.08699999999999999</v>
      </c>
      <c r="F320" s="15">
        <f>E320*$B$273</f>
        <v/>
      </c>
      <c r="G320" s="18" t="inlineStr">
        <is>
          <t>https://azure.microsoft.com/pricing/details/bandwidth/</t>
        </is>
      </c>
      <c r="H320" s="25" t="inlineStr">
        <is>
          <t>2026-09-03</t>
        </is>
      </c>
    </row>
    <row r="321" hidden="1" outlineLevel="1" ht="20" customHeight="1">
      <c r="A321" s="18" t="inlineStr">
        <is>
          <t>Azure</t>
        </is>
      </c>
      <c r="B321" s="18" t="inlineStr">
        <is>
          <t>Central India</t>
        </is>
      </c>
      <c r="C321" s="18" t="inlineStr">
        <is>
          <t>Build runner</t>
        </is>
      </c>
      <c r="D321" s="18" t="inlineStr">
        <is>
          <t>per build minute</t>
        </is>
      </c>
      <c r="E321" s="24" t="n">
        <v>0.008</v>
      </c>
      <c r="F321" s="15">
        <f>E321*$B$273</f>
        <v/>
      </c>
      <c r="G321" s="18" t="inlineStr">
        <is>
          <t>https://azure.microsoft.com/pricing/details/devops/azure-devops-services/</t>
        </is>
      </c>
      <c r="H321" s="25" t="inlineStr">
        <is>
          <t>2026-09-03</t>
        </is>
      </c>
    </row>
    <row r="322" hidden="1" outlineLevel="1" ht="20" customHeight="1">
      <c r="A322" s="18" t="inlineStr">
        <is>
          <t>Azure</t>
        </is>
      </c>
      <c r="B322" s="18" t="inlineStr">
        <is>
          <t>Central India</t>
        </is>
      </c>
      <c r="C322" s="18" t="inlineStr">
        <is>
          <t>Managed database</t>
        </is>
      </c>
      <c r="D322" s="18" t="inlineStr">
        <is>
          <t>per hour</t>
        </is>
      </c>
      <c r="E322" s="24" t="n">
        <v>0.08500000000000001</v>
      </c>
      <c r="F322" s="15">
        <f>E322*$B$273</f>
        <v/>
      </c>
      <c r="G322" s="18" t="inlineStr">
        <is>
          <t>https://azure.microsoft.com/pricing/details/azure-sql-database/</t>
        </is>
      </c>
      <c r="H322" s="25" t="inlineStr">
        <is>
          <t>2026-09-03</t>
        </is>
      </c>
    </row>
    <row r="323" hidden="1" outlineLevel="1" ht="20" customHeight="1">
      <c r="A323" s="18" t="inlineStr">
        <is>
          <t>Azure</t>
        </is>
      </c>
      <c r="B323" s="18" t="inlineStr">
        <is>
          <t>Central India</t>
        </is>
      </c>
      <c r="C323" s="18" t="inlineStr">
        <is>
          <t>Monitoring</t>
        </is>
      </c>
      <c r="D323" s="18" t="inlineStr">
        <is>
          <t>per GB</t>
        </is>
      </c>
      <c r="E323" s="24" t="n">
        <v>0.5</v>
      </c>
      <c r="F323" s="15">
        <f>E323*$B$273</f>
        <v/>
      </c>
      <c r="G323" s="18" t="inlineStr">
        <is>
          <t>https://azure.microsoft.com/pricing/details/monitor/</t>
        </is>
      </c>
      <c r="H323" s="25" t="inlineStr">
        <is>
          <t>2026-09-03</t>
        </is>
      </c>
    </row>
    <row r="324" hidden="1" outlineLevel="1" ht="20" customHeight="1">
      <c r="A324" s="18" t="inlineStr">
        <is>
          <t>GCP</t>
        </is>
      </c>
      <c r="B324" s="18" t="inlineStr">
        <is>
          <t>GCP Mumbai</t>
        </is>
      </c>
      <c r="C324" s="18" t="inlineStr">
        <is>
          <t>VM</t>
        </is>
      </c>
      <c r="D324" s="18" t="inlineStr">
        <is>
          <t>per hour</t>
        </is>
      </c>
      <c r="G324" s="18" t="inlineStr">
        <is>
          <t>https://cloud.google.com/compute/vm-instance-pricing</t>
        </is>
      </c>
      <c r="H324" s="25" t="inlineStr">
        <is>
          <t>Not priced for this quote</t>
        </is>
      </c>
    </row>
    <row r="325" hidden="1" outlineLevel="1" ht="20" customHeight="1">
      <c r="A325" s="18" t="inlineStr">
        <is>
          <t>GCP</t>
        </is>
      </c>
      <c r="B325" s="18" t="inlineStr">
        <is>
          <t>GCP Mumbai</t>
        </is>
      </c>
      <c r="C325" s="18" t="inlineStr">
        <is>
          <t>Kubernetes control plane</t>
        </is>
      </c>
      <c r="D325" s="18" t="inlineStr">
        <is>
          <t>per cluster-hour</t>
        </is>
      </c>
      <c r="G325" s="18" t="inlineStr">
        <is>
          <t>https://cloud.google.com/kubernetes-engine/pricing</t>
        </is>
      </c>
      <c r="H325" s="25" t="inlineStr">
        <is>
          <t>Not priced for this quote</t>
        </is>
      </c>
    </row>
    <row r="326" hidden="1" outlineLevel="1" ht="20" customHeight="1">
      <c r="A326" s="18" t="inlineStr">
        <is>
          <t>GCP</t>
        </is>
      </c>
      <c r="B326" s="18" t="inlineStr">
        <is>
          <t>GCP Mumbai</t>
        </is>
      </c>
      <c r="C326" s="18" t="inlineStr">
        <is>
          <t>Kubernetes worker</t>
        </is>
      </c>
      <c r="D326" s="18" t="inlineStr">
        <is>
          <t>per VM-hour</t>
        </is>
      </c>
      <c r="G326" s="18" t="inlineStr">
        <is>
          <t>https://cloud.google.com/compute/vm-instance-pricing</t>
        </is>
      </c>
      <c r="H326" s="25" t="inlineStr">
        <is>
          <t>Not priced for this quote</t>
        </is>
      </c>
    </row>
    <row r="327" hidden="1" outlineLevel="1" ht="20" customHeight="1">
      <c r="A327" s="18" t="inlineStr">
        <is>
          <t>GCP</t>
        </is>
      </c>
      <c r="B327" s="18" t="inlineStr">
        <is>
          <t>GCP Mumbai</t>
        </is>
      </c>
      <c r="C327" s="18" t="inlineStr">
        <is>
          <t>Disk</t>
        </is>
      </c>
      <c r="D327" s="18" t="inlineStr">
        <is>
          <t>GB-month</t>
        </is>
      </c>
      <c r="G327" s="18" t="inlineStr">
        <is>
          <t>https://cloud.google.com/compute/disks-image-pricing</t>
        </is>
      </c>
      <c r="H327" s="25" t="inlineStr">
        <is>
          <t>Not priced for this quote</t>
        </is>
      </c>
    </row>
    <row r="328" hidden="1" outlineLevel="1" ht="20" customHeight="1">
      <c r="A328" s="18" t="inlineStr">
        <is>
          <t>GCP</t>
        </is>
      </c>
      <c r="B328" s="18" t="inlineStr">
        <is>
          <t>GCP Mumbai</t>
        </is>
      </c>
      <c r="C328" s="18" t="inlineStr">
        <is>
          <t>Storage</t>
        </is>
      </c>
      <c r="D328" s="18" t="inlineStr">
        <is>
          <t>GB-month</t>
        </is>
      </c>
      <c r="G328" s="18" t="inlineStr">
        <is>
          <t>https://cloud.google.com/storage/pricing</t>
        </is>
      </c>
      <c r="H328" s="25" t="inlineStr">
        <is>
          <t>Not priced for this quote</t>
        </is>
      </c>
    </row>
    <row r="329" hidden="1" outlineLevel="1" ht="20" customHeight="1">
      <c r="A329" s="18" t="inlineStr">
        <is>
          <t>GCP</t>
        </is>
      </c>
      <c r="B329" s="18" t="inlineStr">
        <is>
          <t>GCP Mumbai</t>
        </is>
      </c>
      <c r="C329" s="18" t="inlineStr">
        <is>
          <t>Egress</t>
        </is>
      </c>
      <c r="D329" s="18" t="inlineStr">
        <is>
          <t>per GB</t>
        </is>
      </c>
      <c r="G329" s="18" t="inlineStr">
        <is>
          <t>https://cloud.google.com/vpc/network-pricing</t>
        </is>
      </c>
      <c r="H329" s="25" t="inlineStr">
        <is>
          <t>Not priced for this quote</t>
        </is>
      </c>
    </row>
    <row r="330" hidden="1" outlineLevel="1" ht="20" customHeight="1">
      <c r="A330" s="18" t="inlineStr">
        <is>
          <t>GCP</t>
        </is>
      </c>
      <c r="B330" s="18" t="inlineStr">
        <is>
          <t>GCP Mumbai</t>
        </is>
      </c>
      <c r="C330" s="18" t="inlineStr">
        <is>
          <t>Build runner</t>
        </is>
      </c>
      <c r="D330" s="18" t="inlineStr">
        <is>
          <t>per build minute</t>
        </is>
      </c>
      <c r="G330" s="18" t="inlineStr">
        <is>
          <t>https://cloud.google.com/build/pricing</t>
        </is>
      </c>
      <c r="H330" s="25" t="inlineStr">
        <is>
          <t>Not priced for this quote</t>
        </is>
      </c>
    </row>
    <row r="331" hidden="1" outlineLevel="1" ht="20" customHeight="1">
      <c r="A331" s="18" t="inlineStr">
        <is>
          <t>GCP</t>
        </is>
      </c>
      <c r="B331" s="18" t="inlineStr">
        <is>
          <t>GCP Mumbai</t>
        </is>
      </c>
      <c r="C331" s="18" t="inlineStr">
        <is>
          <t>Managed database</t>
        </is>
      </c>
      <c r="D331" s="18" t="inlineStr">
        <is>
          <t>per hour</t>
        </is>
      </c>
      <c r="G331" s="18" t="inlineStr">
        <is>
          <t>https://cloud.google.com/sql/pricing</t>
        </is>
      </c>
      <c r="H331" s="25" t="inlineStr">
        <is>
          <t>Not priced for this quote</t>
        </is>
      </c>
    </row>
    <row r="332" hidden="1" outlineLevel="1" ht="20" customHeight="1">
      <c r="A332" s="18" t="inlineStr">
        <is>
          <t>GCP</t>
        </is>
      </c>
      <c r="B332" s="18" t="inlineStr">
        <is>
          <t>GCP Mumbai</t>
        </is>
      </c>
      <c r="C332" s="18" t="inlineStr">
        <is>
          <t>Monitoring</t>
        </is>
      </c>
      <c r="D332" s="18" t="inlineStr">
        <is>
          <t>per GB</t>
        </is>
      </c>
      <c r="G332" s="18" t="inlineStr">
        <is>
          <t>https://cloud.google.com/stackdriver/pricing</t>
        </is>
      </c>
      <c r="H332" s="25" t="inlineStr">
        <is>
          <t>Not priced for this quote</t>
        </is>
      </c>
    </row>
    <row r="333" hidden="1" outlineLevel="1" ht="20" customHeight="1">
      <c r="A333" s="18" t="inlineStr">
        <is>
          <t>Azure</t>
        </is>
      </c>
      <c r="B333" s="18" t="inlineStr">
        <is>
          <t>Central India</t>
        </is>
      </c>
      <c r="C333" s="18" t="inlineStr">
        <is>
          <t>VM Light</t>
        </is>
      </c>
      <c r="D333" s="18" t="inlineStr">
        <is>
          <t>per hour</t>
        </is>
      </c>
      <c r="E333" s="24" t="n">
        <v>0.05</v>
      </c>
      <c r="F333" s="15">
        <f>E333*$B$273</f>
        <v/>
      </c>
      <c r="G333" s="18" t="inlineStr">
        <is>
          <t>https://example.com/test</t>
        </is>
      </c>
      <c r="H333" s="25" t="inlineStr">
        <is>
          <t>2026-09-21</t>
        </is>
      </c>
    </row>
    <row r="334" hidden="1" outlineLevel="1" ht="20" customHeight="1">
      <c r="A334" s="18" t="inlineStr">
        <is>
          <t>Azure</t>
        </is>
      </c>
      <c r="B334" s="18" t="inlineStr">
        <is>
          <t>Central India</t>
        </is>
      </c>
      <c r="C334" s="18" t="inlineStr">
        <is>
          <t>VM Heavy</t>
        </is>
      </c>
      <c r="D334" s="18" t="inlineStr">
        <is>
          <t>per hour</t>
        </is>
      </c>
      <c r="E334" s="24" t="n">
        <v>0.2</v>
      </c>
      <c r="F334" s="15">
        <f>E334*$B$273</f>
        <v/>
      </c>
      <c r="G334" s="18" t="inlineStr">
        <is>
          <t>https://example.com/test</t>
        </is>
      </c>
      <c r="H334" s="25" t="inlineStr">
        <is>
          <t>2026-09-21</t>
        </is>
      </c>
    </row>
  </sheetData>
  <mergeCells count="108">
    <mergeCell ref="A258:K258"/>
    <mergeCell ref="A114:K114"/>
    <mergeCell ref="A53:G53"/>
    <mergeCell ref="B8:G8"/>
    <mergeCell ref="A50:F50"/>
    <mergeCell ref="A55:F55"/>
    <mergeCell ref="A28:G28"/>
    <mergeCell ref="A111:G111"/>
    <mergeCell ref="A228:K228"/>
    <mergeCell ref="A229:J229"/>
    <mergeCell ref="B84:D84"/>
    <mergeCell ref="B65:G65"/>
    <mergeCell ref="A253:I253"/>
    <mergeCell ref="A20:F20"/>
    <mergeCell ref="B68:G68"/>
    <mergeCell ref="A246:H246"/>
    <mergeCell ref="B80:D80"/>
    <mergeCell ref="B213:D213"/>
    <mergeCell ref="B36:G36"/>
    <mergeCell ref="A2:K2"/>
    <mergeCell ref="A58:F58"/>
    <mergeCell ref="A303:H303"/>
    <mergeCell ref="A15:F15"/>
    <mergeCell ref="A254:I255"/>
    <mergeCell ref="A24:F24"/>
    <mergeCell ref="A51:F51"/>
    <mergeCell ref="A206:K206"/>
    <mergeCell ref="A60:F60"/>
    <mergeCell ref="B31:G31"/>
    <mergeCell ref="B219:D219"/>
    <mergeCell ref="A242:G242"/>
    <mergeCell ref="B210:D210"/>
    <mergeCell ref="A245:K245"/>
    <mergeCell ref="A16:F16"/>
    <mergeCell ref="A127:K127"/>
    <mergeCell ref="A259:D259"/>
    <mergeCell ref="B88:D88"/>
    <mergeCell ref="B82:D82"/>
    <mergeCell ref="A63:G63"/>
    <mergeCell ref="B217:D217"/>
    <mergeCell ref="A172:H172"/>
    <mergeCell ref="A123:I124"/>
    <mergeCell ref="A92:D94"/>
    <mergeCell ref="A22:F22"/>
    <mergeCell ref="B83:D83"/>
    <mergeCell ref="B64:G64"/>
    <mergeCell ref="B33:G33"/>
    <mergeCell ref="B216:D216"/>
    <mergeCell ref="B85:D85"/>
    <mergeCell ref="B35:G35"/>
    <mergeCell ref="A128:D128"/>
    <mergeCell ref="B218:D218"/>
    <mergeCell ref="A59:F59"/>
    <mergeCell ref="A171:K171"/>
    <mergeCell ref="B66:G66"/>
    <mergeCell ref="B215:D215"/>
    <mergeCell ref="A76:D76"/>
    <mergeCell ref="A54:F54"/>
    <mergeCell ref="A91:D91"/>
    <mergeCell ref="B67:G67"/>
    <mergeCell ref="B61:G61"/>
    <mergeCell ref="A56:F56"/>
    <mergeCell ref="A1:K1"/>
    <mergeCell ref="B29:G29"/>
    <mergeCell ref="B87:D87"/>
    <mergeCell ref="B69:G69"/>
    <mergeCell ref="B211:D211"/>
    <mergeCell ref="A98:J98"/>
    <mergeCell ref="A207:D207"/>
    <mergeCell ref="A19:F19"/>
    <mergeCell ref="B212:D212"/>
    <mergeCell ref="A6:G6"/>
    <mergeCell ref="A78:D78"/>
    <mergeCell ref="B32:G32"/>
    <mergeCell ref="A302:K302"/>
    <mergeCell ref="B26:G26"/>
    <mergeCell ref="B7:G7"/>
    <mergeCell ref="B72:G72"/>
    <mergeCell ref="A18:G18"/>
    <mergeCell ref="A223:D225"/>
    <mergeCell ref="B71:G71"/>
    <mergeCell ref="A115:H115"/>
    <mergeCell ref="B220:D220"/>
    <mergeCell ref="B43:G43"/>
    <mergeCell ref="A40:K40"/>
    <mergeCell ref="B86:D86"/>
    <mergeCell ref="B42:G42"/>
    <mergeCell ref="A209:D209"/>
    <mergeCell ref="A21:F21"/>
    <mergeCell ref="B44:G44"/>
    <mergeCell ref="A57:F57"/>
    <mergeCell ref="B34:G34"/>
    <mergeCell ref="B37:G37"/>
    <mergeCell ref="A23:F23"/>
    <mergeCell ref="B9:G9"/>
    <mergeCell ref="A122:I122"/>
    <mergeCell ref="B30:G30"/>
    <mergeCell ref="A222:D222"/>
    <mergeCell ref="A75:K75"/>
    <mergeCell ref="B89:D89"/>
    <mergeCell ref="B79:D79"/>
    <mergeCell ref="A41:G41"/>
    <mergeCell ref="A5:K5"/>
    <mergeCell ref="B81:D81"/>
    <mergeCell ref="A97:K97"/>
    <mergeCell ref="B214:D214"/>
    <mergeCell ref="B70:G70"/>
    <mergeCell ref="A25:F25"/>
  </mergeCell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2026-09-21T12:48:21Z</dcterms:created>
  <dcterms:modified xmlns:dcterms="http://purl.org/dc/terms/" xmlns:xsi="http://www.w3.org/2001/XMLSchema-instance" xsi:type="dcterms:W3CDTF">2026-09-21T12:48:21Z</dcterms:modified>
</cp:coreProperties>
</file>