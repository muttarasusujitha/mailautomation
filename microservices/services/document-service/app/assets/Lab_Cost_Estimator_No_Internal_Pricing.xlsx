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5a2b349f7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352ffbafc7f54cb3"/>
    <x:sheet xmlns:r="http://schemas.openxmlformats.org/officeDocument/2006/relationships" name="Rate Card" sheetId="2" r:id="R6ccc50e7c45145f0"/>
    <x:sheet xmlns:r="http://schemas.openxmlformats.org/officeDocument/2006/relationships" name="TOC Mapping" sheetId="3" r:id="R734ed760510b494f"/>
    <x:sheet xmlns:r="http://schemas.openxmlformats.org/officeDocument/2006/relationships" name="Resource Cost Breakdown" sheetId="4" r:id="Rd434206cd9484899"/>
    <x:sheet xmlns:r="http://schemas.openxmlformats.org/officeDocument/2006/relationships" name="Client Estimate" sheetId="6" r:id="Re61593451170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$0.0000;[Red]($0.0000);-"/>
    <x:numFmt numFmtId="202" formatCode="₹#,##0.00;[Red](₹#,##0.00);-"/>
    <x:numFmt numFmtId="203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595959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3" fillId="4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202" fontId="6" fillId="0" borderId="0" xfId="0" applyNumberFormat="1" applyFont="1" applyFill="1" applyBorder="1"/>
    <x:xf numFmtId="202" fontId="0" fillId="0" borderId="0" xfId="0" applyNumberFormat="1" applyFont="1" applyFill="1" applyBorder="1"/>
    <x:xf numFmtId="202" fontId="7" fillId="5" borderId="0" xfId="0" applyNumberFormat="1" applyFont="1" applyFill="1" applyBorder="1"/>
    <x:xf numFmtId="202" fontId="6" fillId="0" borderId="1" xfId="0" applyNumberFormat="1" applyFont="1" applyFill="1" applyBorder="1"/>
    <x:xf numFmtId="202" fontId="0" fillId="0" borderId="1" xfId="0" applyNumberFormat="1" applyFont="1" applyFill="1" applyBorder="1"/>
    <x:xf numFmtId="202" fontId="7" fillId="5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202" fontId="7" fillId="5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202" fontId="7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202" fontId="5" fillId="5" borderId="0" xfId="0" applyNumberFormat="1" applyFont="1" applyFill="1" applyBorder="1"/>
    <x:xf numFmtId="202" fontId="8" fillId="5" borderId="0" xfId="0" applyNumberFormat="1" applyFont="1" applyFill="1" applyBorder="1"/>
    <x:xf numFmtId="0" fontId="4" fillId="5" borderId="1" xfId="0" applyNumberFormat="1" applyFont="1" applyFill="1" applyBorder="1"/>
    <x:xf numFmtId="202" fontId="5" fillId="5" borderId="1" xfId="0" applyNumberFormat="1" applyFont="1" applyFill="1" applyBorder="1"/>
    <x:xf numFmtId="202" fontId="8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402671dd84c49" /><Relationship Type="http://schemas.openxmlformats.org/officeDocument/2006/relationships/theme" Target="/xl/theme/theme1.xml" Id="Rd82903ec52704de4" /><Relationship Type="http://schemas.openxmlformats.org/officeDocument/2006/relationships/sharedStrings" Target="/xl/sharedStrings.xml" Id="Rd4e89c7b47f04e79" /><Relationship Type="http://schemas.openxmlformats.org/officeDocument/2006/relationships/worksheet" Target="/xl/worksheets/sheet1.xml" Id="R352ffbafc7f54cb3" /><Relationship Type="http://schemas.openxmlformats.org/officeDocument/2006/relationships/worksheet" Target="/xl/worksheets/sheet2.xml" Id="R6ccc50e7c45145f0" /><Relationship Type="http://schemas.openxmlformats.org/officeDocument/2006/relationships/worksheet" Target="/xl/worksheets/sheet3.xml" Id="R734ed760510b494f" /><Relationship Type="http://schemas.openxmlformats.org/officeDocument/2006/relationships/worksheet" Target="/xl/worksheets/sheet4.xml" Id="Rd434206cd9484899" /><Relationship Type="http://schemas.openxmlformats.org/officeDocument/2006/relationships/worksheet" Target="/xl/worksheets/sheet5.xml" Id="Re6159345117048aa" /></Relationships>
</file>

<file path=xl/tables/table1.xml><?xml version="1.0" encoding="utf-8"?>
<x:table xmlns:x="http://schemas.openxmlformats.org/spreadsheetml/2006/main" id="1" name="RateCardTable" displayName="RateCardTable" ref="A3:H30" headerRowCount="1" totalsRowCount="0" totalsRowShown="0">
  <x:tableColumns count="8">
    <x:tableColumn id="1" name="Provider"/>
    <x:tableColumn id="2" name="Region"/>
    <x:tableColumn id="3" name="Resource"/>
    <x:tableColumn id="4" name="Billing unit"/>
    <x:tableColumn id="5" name="USD rate"/>
    <x:tableColumn id="6" name="INR rate"/>
    <x:tableColumn id="7" name="Source URL"/>
    <x:tableColumn id="8" name="Last verifi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OCMappingTable" displayName="TOCMappingTable" ref="A3:H8" headerRowCount="1" totalsRowCount="0" totalsRowShown="0">
  <x:tableColumns count="8">
    <x:tableColumn id="1" name="Day"/>
    <x:tableColumn id="2" name="Training topic"/>
    <x:tableColumn id="3" name="VM qty"/>
    <x:tableColumn id="4" name="VM profile"/>
    <x:tableColumn id="5" name="K8s control plane"/>
    <x:tableColumn id="6" name="K8s worker nodes"/>
    <x:tableColumn id="7" name="Managed DB"/>
    <x:tableColumn id="8" name="Object sto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sourceCostTable" displayName="ResourceCostTable" ref="A3:J12" headerRowCount="1" totalsRowCount="0" totalsRowShown="0">
  <x:tableColumns count="10">
    <x:tableColumn id="1" name="Resource"/>
    <x:tableColumn id="2" name="Quantity"/>
    <x:tableColumn id="3" name="Billing unit"/>
    <x:tableColumn id="4" name="Rate (INR)"/>
    <x:tableColumn id="5" name="Usage driver"/>
    <x:tableColumn id="6" name="Days / Hours"/>
    <x:tableColumn id="7" name="Formula basis"/>
    <x:tableColumn id="8" name="Total (INR)"/>
    <x:tableColumn id="9" name="Provider"/>
    <x:tableColumn id="10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3ef2a537744f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9634c0ae844e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a9e0aa0ebe4941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27" hidden="0" customWidth="1"/>
    <x:col min="4" max="4" width="34" hidden="0" customWidth="1"/>
  </x:cols>
  <x:sheetData>
    <x:row r="1" ht="28" customHeight="1">
      <x:c r="A1" s="28" t="str">
        <x:v>Lab Cost Model – Assumptions</x:v>
      </x:c>
      <x:c r="B1" s="28"/>
      <x:c r="C1" s="28"/>
      <x:c r="D1" s="28"/>
    </x:row>
    <x:row r="2">
      <x:c r="A2" s="29"/>
      <x:c r="B2" s="29"/>
      <x:c r="C2" s="29"/>
      <x:c r="D2" s="29"/>
    </x:row>
    <x:row r="3">
      <x:c r="A3" s="14" t="str">
        <x:v>Assumption</x:v>
      </x:c>
      <x:c r="B3" s="14" t="str">
        <x:v>Value</x:v>
      </x:c>
      <x:c r="C3" s="14" t="str">
        <x:v>Unit / Option</x:v>
      </x:c>
      <x:c r="D3" s="14" t="str">
        <x:v>Notes</x:v>
      </x:c>
    </x:row>
    <x:row r="4">
      <x:c r="A4" s="30" t="str">
        <x:v>Training title</x:v>
      </x:c>
      <x:c r="B4" s="31" t="str">
        <x:v>DevOps Cloud Lab Training</x:v>
      </x:c>
      <x:c r="C4" s="29" t="str">
        <x:v>Text</x:v>
      </x:c>
      <x:c r="D4" s="29" t="str">
        <x:v>Client-facing title</x:v>
      </x:c>
    </x:row>
    <x:row r="5">
      <x:c r="A5" s="30" t="str">
        <x:v>Cloud provider</x:v>
      </x:c>
      <x:c r="B5" s="31" t="str">
        <x:v>AWS</x:v>
      </x:c>
      <x:c r="C5" s="29" t="str">
        <x:v>AWS / Azure / GCP</x:v>
      </x:c>
      <x:c r="D5" s="29" t="str">
        <x:v>Select provider</x:v>
      </x:c>
    </x:row>
    <x:row r="6">
      <x:c r="A6" s="30" t="str">
        <x:v>Region</x:v>
      </x:c>
      <x:c r="B6" s="31" t="str">
        <x:v>Mumbai</x:v>
      </x:c>
      <x:c r="C6" s="29" t="str">
        <x:v>Mumbai / Central India / GCP Mumbai</x:v>
      </x:c>
      <x:c r="D6" s="29" t="str">
        <x:v>Select matching region</x:v>
      </x:c>
    </x:row>
    <x:row r="7">
      <x:c r="A7" s="30" t="str">
        <x:v>Hours per day</x:v>
      </x:c>
      <x:c r="B7" s="31" t="n">
        <x:v>8</x:v>
      </x:c>
      <x:c r="C7" s="29" t="str">
        <x:v>hours</x:v>
      </x:c>
      <x:c r="D7" s="29" t="str">
        <x:v>Lab runtime per training day</x:v>
      </x:c>
    </x:row>
    <x:row r="8">
      <x:c r="A8" s="30" t="str">
        <x:v>Training days</x:v>
      </x:c>
      <x:c r="B8" s="31" t="n">
        <x:v>5</x:v>
      </x:c>
      <x:c r="C8" s="29" t="str">
        <x:v>days</x:v>
      </x:c>
      <x:c r="D8" s="29" t="str">
        <x:v>Total training days</x:v>
      </x:c>
    </x:row>
    <x:row r="9">
      <x:c r="A9" s="30" t="str">
        <x:v>Participants</x:v>
      </x:c>
      <x:c r="B9" s="31" t="n">
        <x:v>20</x:v>
      </x:c>
      <x:c r="C9" s="29" t="str">
        <x:v>people</x:v>
      </x:c>
      <x:c r="D9" s="29" t="str">
        <x:v>Number of learners</x:v>
      </x:c>
    </x:row>
    <x:row r="10">
      <x:c r="A10" s="30" t="str">
        <x:v>Storage GB</x:v>
      </x:c>
      <x:c r="B10" s="31" t="n">
        <x:v>20</x:v>
      </x:c>
      <x:c r="C10" s="29" t="str">
        <x:v>GB</x:v>
      </x:c>
      <x:c r="D10" s="29" t="str">
        <x:v>Object storage requirement</x:v>
      </x:c>
    </x:row>
    <x:row r="11">
      <x:c r="A11" s="30" t="str">
        <x:v>Data egress GB</x:v>
      </x:c>
      <x:c r="B11" s="31" t="n">
        <x:v>10</x:v>
      </x:c>
      <x:c r="C11" s="29" t="str">
        <x:v>GB</x:v>
      </x:c>
      <x:c r="D11" s="29" t="str">
        <x:v>Estimated outbound transfer</x:v>
      </x:c>
    </x:row>
    <x:row r="12">
      <x:c r="A12" s="30" t="str">
        <x:v>Build minutes</x:v>
      </x:c>
      <x:c r="B12" s="31" t="n">
        <x:v>120</x:v>
      </x:c>
      <x:c r="C12" s="29" t="str">
        <x:v>minutes</x:v>
      </x:c>
      <x:c r="D12" s="29" t="str">
        <x:v>CI/CD runner usage</x:v>
      </x:c>
    </x:row>
    <x:row r="13">
      <x:c r="A13" s="30" t="str">
        <x:v>Monitoring GB</x:v>
      </x:c>
      <x:c r="B13" s="31" t="n">
        <x:v>5</x:v>
      </x:c>
      <x:c r="C13" s="29" t="str">
        <x:v>GB</x:v>
      </x:c>
      <x:c r="D13" s="29" t="str">
        <x:v>Monitoring/log ingestion</x:v>
      </x:c>
    </x:row>
    <x:row r="14">
      <x:c r="A14" s="30" t="str">
        <x:v>Kubernetes worker nodes</x:v>
      </x:c>
      <x:c r="B14" s="31" t="n">
        <x:v>2</x:v>
      </x:c>
      <x:c r="C14" s="29" t="str">
        <x:v>nodes</x:v>
      </x:c>
      <x:c r="D14" s="29" t="str">
        <x:v>Worker count when Kubernetes is used</x:v>
      </x:c>
    </x:row>
    <x:row r="15">
      <x:c r="A15" s="30" t="str">
        <x:v>USD-to-INR rate</x:v>
      </x:c>
      <x:c r="B15" s="31" t="n">
        <x:v>84</x:v>
      </x:c>
      <x:c r="C15" s="29" t="str">
        <x:v>INR/USD</x:v>
      </x:c>
      <x:c r="D15" s="29" t="str">
        <x:v>Update with current conversion rate</x:v>
      </x:c>
    </x:row>
    <x:row r="16">
      <x:c r="A16" s="30" t="str">
        <x:v>Contingency percentage</x:v>
      </x:c>
      <x:c r="B16" s="32" t="n">
        <x:v>0.1</x:v>
      </x:c>
      <x:c r="C16" s="29" t="str">
        <x:v>%</x:v>
      </x:c>
      <x:c r="D16" s="29" t="str">
        <x:v>Risk buffer</x:v>
      </x:c>
    </x:row>
    <x:row r="17">
      <x:c r="A17" s="30" t="str">
        <x:v>GST percentage</x:v>
      </x:c>
      <x:c r="B17" s="32" t="n">
        <x:v>0.18</x:v>
      </x:c>
      <x:c r="C17" s="29" t="str">
        <x:v>%</x:v>
      </x:c>
      <x:c r="D17" s="29" t="str">
        <x:v>India GST assumption</x:v>
      </x:c>
    </x:row>
    <x:row r="18">
      <x:c r="A18" s="30" t="str">
        <x:v>Package</x:v>
      </x:c>
      <x:c r="B18" s="31" t="str">
        <x:v>Standard</x:v>
      </x:c>
      <x:c r="C18" s="29" t="str">
        <x:v>Basic / Standard / Advanced</x:v>
      </x:c>
      <x:c r="D18" s="29" t="str">
        <x:v>Controls support pricing</x:v>
      </x:c>
    </x:row>
    <x:row r="19">
      <x:c r="A19" s="30" t="str">
        <x:v>Quote validity</x:v>
      </x:c>
      <x:c r="B19" s="31" t="n">
        <x:v>15</x:v>
      </x:c>
      <x:c r="C19" s="29" t="str">
        <x:v>days</x:v>
      </x:c>
      <x:c r="D19" s="29" t="str">
        <x:v>Validity from quote date</x:v>
      </x:c>
    </x:row>
  </x:sheetData>
  <x:mergeCells>
    <x:mergeCell ref="A1:D1"/>
  </x:mergeCells>
  <x:dataValidations count="3">
    <x:dataValidation type="list" sqref="B5">
      <x:formula1>"AWS,Azure,GCP"</x:formula1>
    </x:dataValidation>
    <x:dataValidation type="list" sqref="B6">
      <x:formula1>"Mumbai,Central India,GCP Mumbai"</x:formula1>
    </x:dataValidation>
    <x:dataValidation type="list" sqref="B18">
      <x:formula1>"Basic,Standard,Advanced"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26" hidden="0" customWidth="1"/>
    <x:col min="4" max="4" width="21" hidden="0" customWidth="1"/>
    <x:col min="5" max="5" width="14" hidden="0" customWidth="1"/>
    <x:col min="6" max="6" width="14" hidden="0" customWidth="1"/>
    <x:col min="7" max="7" width="46" hidden="0" customWidth="1"/>
    <x:col min="8" max="8" width="18" hidden="0" customWidth="1"/>
  </x:cols>
  <x:sheetData>
    <x:row r="1" ht="28" customHeight="1">
      <x:c r="A1" s="28" t="str">
        <x:v>Rate Card – Editable Provider Pricing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14" t="str">
        <x:v>Provider</x:v>
      </x:c>
      <x:c r="B3" s="14" t="str">
        <x:v>Region</x:v>
      </x:c>
      <x:c r="C3" s="14" t="str">
        <x:v>Resource</x:v>
      </x:c>
      <x:c r="D3" s="14" t="str">
        <x:v>Billing unit</x:v>
      </x:c>
      <x:c r="E3" s="14" t="str">
        <x:v>USD rate</x:v>
      </x:c>
      <x:c r="F3" s="14" t="str">
        <x:v>INR rate</x:v>
      </x:c>
      <x:c r="G3" s="14" t="str">
        <x:v>Source URL</x:v>
      </x:c>
      <x:c r="H3" s="14" t="str">
        <x:v>Last verified date</x:v>
      </x:c>
    </x:row>
    <x:row r="4">
      <x:c r="A4" s="29" t="str">
        <x:v>AWS</x:v>
      </x:c>
      <x:c r="B4" s="29" t="str">
        <x:v>Mumbai</x:v>
      </x:c>
      <x:c r="C4" s="29" t="str">
        <x:v>VM</x:v>
      </x:c>
      <x:c r="D4" s="29" t="str">
        <x:v>per hour</x:v>
      </x:c>
      <x:c r="E4" s="46" t="n">
        <x:v>0.05</x:v>
      </x:c>
      <x:c r="F4" s="47" t="n">
        <x:f>E4*Assumptions!$B$15</x:f>
        <x:v>4.2</x:v>
      </x:c>
      <x:c r="G4" s="29" t="str">
        <x:v>https://aws.amazon.com/ec2/pricing/</x:v>
      </x:c>
      <x:c r="H4" s="48" t="str">
        <x:v>2026-09-03</x:v>
      </x:c>
    </x:row>
    <x:row r="5">
      <x:c r="A5" s="29" t="str">
        <x:v>AWS</x:v>
      </x:c>
      <x:c r="B5" s="29" t="str">
        <x:v>Mumbai</x:v>
      </x:c>
      <x:c r="C5" s="29" t="str">
        <x:v>Kubernetes control plane</x:v>
      </x:c>
      <x:c r="D5" s="29" t="str">
        <x:v>per cluster-hour</x:v>
      </x:c>
      <x:c r="E5" s="46" t="n">
        <x:v>0.1</x:v>
      </x:c>
      <x:c r="F5" s="47" t="n">
        <x:f>E5*Assumptions!$B$15</x:f>
        <x:v>8.4</x:v>
      </x:c>
      <x:c r="G5" s="29" t="str">
        <x:v>https://aws.amazon.com/eks/pricing/</x:v>
      </x:c>
      <x:c r="H5" s="48" t="str">
        <x:v>2026-09-03</x:v>
      </x:c>
    </x:row>
    <x:row r="6">
      <x:c r="A6" s="29" t="str">
        <x:v>AWS</x:v>
      </x:c>
      <x:c r="B6" s="29" t="str">
        <x:v>Mumbai</x:v>
      </x:c>
      <x:c r="C6" s="29" t="str">
        <x:v>Kubernetes worker</x:v>
      </x:c>
      <x:c r="D6" s="29" t="str">
        <x:v>per VM-hour</x:v>
      </x:c>
      <x:c r="E6" s="46" t="n">
        <x:v>0.05</x:v>
      </x:c>
      <x:c r="F6" s="47" t="n">
        <x:f>E6*Assumptions!$B$15</x:f>
        <x:v>4.2</x:v>
      </x:c>
      <x:c r="G6" s="29" t="str">
        <x:v>https://aws.amazon.com/ec2/pricing/</x:v>
      </x:c>
      <x:c r="H6" s="48" t="str">
        <x:v>2026-09-03</x:v>
      </x:c>
    </x:row>
    <x:row r="7">
      <x:c r="A7" s="29" t="str">
        <x:v>AWS</x:v>
      </x:c>
      <x:c r="B7" s="29" t="str">
        <x:v>Mumbai</x:v>
      </x:c>
      <x:c r="C7" s="29" t="str">
        <x:v>Disk</x:v>
      </x:c>
      <x:c r="D7" s="29" t="str">
        <x:v>GB-month</x:v>
      </x:c>
      <x:c r="E7" s="46" t="n">
        <x:v>0.08</x:v>
      </x:c>
      <x:c r="F7" s="47" t="n">
        <x:f>E7*Assumptions!$B$15</x:f>
        <x:v>6.72</x:v>
      </x:c>
      <x:c r="G7" s="29" t="str">
        <x:v>https://aws.amazon.com/ebs/pricing/</x:v>
      </x:c>
      <x:c r="H7" s="48" t="str">
        <x:v>2026-09-03</x:v>
      </x:c>
    </x:row>
    <x:row r="8">
      <x:c r="A8" s="29" t="str">
        <x:v>AWS</x:v>
      </x:c>
      <x:c r="B8" s="29" t="str">
        <x:v>Mumbai</x:v>
      </x:c>
      <x:c r="C8" s="29" t="str">
        <x:v>Storage</x:v>
      </x:c>
      <x:c r="D8" s="29" t="str">
        <x:v>GB-month</x:v>
      </x:c>
      <x:c r="E8" s="46" t="n">
        <x:v>0.023</x:v>
      </x:c>
      <x:c r="F8" s="47" t="n">
        <x:f>E8*Assumptions!$B$15</x:f>
        <x:v>1.932</x:v>
      </x:c>
      <x:c r="G8" s="29" t="str">
        <x:v>https://aws.amazon.com/s3/pricing/</x:v>
      </x:c>
      <x:c r="H8" s="48" t="str">
        <x:v>2026-09-03</x:v>
      </x:c>
    </x:row>
    <x:row r="9">
      <x:c r="A9" s="29" t="str">
        <x:v>AWS</x:v>
      </x:c>
      <x:c r="B9" s="29" t="str">
        <x:v>Mumbai</x:v>
      </x:c>
      <x:c r="C9" s="29" t="str">
        <x:v>Egress</x:v>
      </x:c>
      <x:c r="D9" s="29" t="str">
        <x:v>per GB</x:v>
      </x:c>
      <x:c r="E9" s="46" t="n">
        <x:v>0.09</x:v>
      </x:c>
      <x:c r="F9" s="47" t="n">
        <x:f>E9*Assumptions!$B$15</x:f>
        <x:v>7.56</x:v>
      </x:c>
      <x:c r="G9" s="29" t="str">
        <x:v>https://aws.amazon.com/ec2/pricing/on-demand/#Data_Transfer</x:v>
      </x:c>
      <x:c r="H9" s="48" t="str">
        <x:v>2026-09-03</x:v>
      </x:c>
    </x:row>
    <x:row r="10">
      <x:c r="A10" s="29" t="str">
        <x:v>AWS</x:v>
      </x:c>
      <x:c r="B10" s="29" t="str">
        <x:v>Mumbai</x:v>
      </x:c>
      <x:c r="C10" s="29" t="str">
        <x:v>Build runner</x:v>
      </x:c>
      <x:c r="D10" s="29" t="str">
        <x:v>per build minute</x:v>
      </x:c>
      <x:c r="E10" s="46" t="n">
        <x:v>0.008</x:v>
      </x:c>
      <x:c r="F10" s="47" t="n">
        <x:f>E10*Assumptions!$B$15</x:f>
        <x:v>0.672</x:v>
      </x:c>
      <x:c r="G10" s="29" t="str">
        <x:v>https://aws.amazon.com/codebuild/pricing/</x:v>
      </x:c>
      <x:c r="H10" s="48" t="str">
        <x:v>2026-09-03</x:v>
      </x:c>
    </x:row>
    <x:row r="11">
      <x:c r="A11" s="29" t="str">
        <x:v>AWS</x:v>
      </x:c>
      <x:c r="B11" s="29" t="str">
        <x:v>Mumbai</x:v>
      </x:c>
      <x:c r="C11" s="29" t="str">
        <x:v>Managed database</x:v>
      </x:c>
      <x:c r="D11" s="29" t="str">
        <x:v>per hour</x:v>
      </x:c>
      <x:c r="E11" s="46" t="n">
        <x:v>0.08</x:v>
      </x:c>
      <x:c r="F11" s="47" t="n">
        <x:f>E11*Assumptions!$B$15</x:f>
        <x:v>6.72</x:v>
      </x:c>
      <x:c r="G11" s="29" t="str">
        <x:v>https://aws.amazon.com/rds/pricing/</x:v>
      </x:c>
      <x:c r="H11" s="48" t="str">
        <x:v>2026-09-03</x:v>
      </x:c>
    </x:row>
    <x:row r="12">
      <x:c r="A12" s="29" t="str">
        <x:v>AWS</x:v>
      </x:c>
      <x:c r="B12" s="29" t="str">
        <x:v>Mumbai</x:v>
      </x:c>
      <x:c r="C12" s="29" t="str">
        <x:v>Monitoring</x:v>
      </x:c>
      <x:c r="D12" s="29" t="str">
        <x:v>per GB</x:v>
      </x:c>
      <x:c r="E12" s="46" t="n">
        <x:v>0.5</x:v>
      </x:c>
      <x:c r="F12" s="47" t="n">
        <x:f>E12*Assumptions!$B$15</x:f>
        <x:v>42</x:v>
      </x:c>
      <x:c r="G12" s="29" t="str">
        <x:v>https://aws.amazon.com/cloudwatch/pricing/</x:v>
      </x:c>
      <x:c r="H12" s="48" t="str">
        <x:v>2026-09-03</x:v>
      </x:c>
    </x:row>
    <x:row r="13">
      <x:c r="A13" s="29" t="str">
        <x:v>Azure</x:v>
      </x:c>
      <x:c r="B13" s="29" t="str">
        <x:v>Central India</x:v>
      </x:c>
      <x:c r="C13" s="29" t="str">
        <x:v>VM</x:v>
      </x:c>
      <x:c r="D13" s="29" t="str">
        <x:v>per hour</x:v>
      </x:c>
      <x:c r="E13" s="46" t="n">
        <x:v>0.055</x:v>
      </x:c>
      <x:c r="F13" s="47" t="n">
        <x:f>E13*Assumptions!$B$15</x:f>
        <x:v>4.62</x:v>
      </x:c>
      <x:c r="G13" s="29" t="str">
        <x:v>https://azure.microsoft.com/pricing/details/virtual-machines/</x:v>
      </x:c>
      <x:c r="H13" s="48" t="str">
        <x:v>2026-09-03</x:v>
      </x:c>
    </x:row>
    <x:row r="14">
      <x:c r="A14" s="29" t="str">
        <x:v>Azure</x:v>
      </x:c>
      <x:c r="B14" s="29" t="str">
        <x:v>Central India</x:v>
      </x:c>
      <x:c r="C14" s="29" t="str">
        <x:v>Kubernetes control plane</x:v>
      </x:c>
      <x:c r="D14" s="29" t="str">
        <x:v>per cluster-hour</x:v>
      </x:c>
      <x:c r="E14" s="46" t="n">
        <x:v>0.1</x:v>
      </x:c>
      <x:c r="F14" s="47" t="n">
        <x:f>E14*Assumptions!$B$15</x:f>
        <x:v>8.4</x:v>
      </x:c>
      <x:c r="G14" s="29" t="str">
        <x:v>https://azure.microsoft.com/pricing/details/kubernetes-service/</x:v>
      </x:c>
      <x:c r="H14" s="48" t="str">
        <x:v>2026-09-03</x:v>
      </x:c>
    </x:row>
    <x:row r="15">
      <x:c r="A15" s="29" t="str">
        <x:v>Azure</x:v>
      </x:c>
      <x:c r="B15" s="29" t="str">
        <x:v>Central India</x:v>
      </x:c>
      <x:c r="C15" s="29" t="str">
        <x:v>Kubernetes worker</x:v>
      </x:c>
      <x:c r="D15" s="29" t="str">
        <x:v>per VM-hour</x:v>
      </x:c>
      <x:c r="E15" s="46" t="n">
        <x:v>0.055</x:v>
      </x:c>
      <x:c r="F15" s="47" t="n">
        <x:f>E15*Assumptions!$B$15</x:f>
        <x:v>4.62</x:v>
      </x:c>
      <x:c r="G15" s="29" t="str">
        <x:v>https://azure.microsoft.com/pricing/details/virtual-machines/</x:v>
      </x:c>
      <x:c r="H15" s="48" t="str">
        <x:v>2026-09-03</x:v>
      </x:c>
    </x:row>
    <x:row r="16">
      <x:c r="A16" s="29" t="str">
        <x:v>Azure</x:v>
      </x:c>
      <x:c r="B16" s="29" t="str">
        <x:v>Central India</x:v>
      </x:c>
      <x:c r="C16" s="29" t="str">
        <x:v>Disk</x:v>
      </x:c>
      <x:c r="D16" s="29" t="str">
        <x:v>GB-month</x:v>
      </x:c>
      <x:c r="E16" s="46" t="n">
        <x:v>0.09</x:v>
      </x:c>
      <x:c r="F16" s="47" t="n">
        <x:f>E16*Assumptions!$B$15</x:f>
        <x:v>7.56</x:v>
      </x:c>
      <x:c r="G16" s="29" t="str">
        <x:v>https://azure.microsoft.com/pricing/details/managed-disks/</x:v>
      </x:c>
      <x:c r="H16" s="48" t="str">
        <x:v>2026-09-03</x:v>
      </x:c>
    </x:row>
    <x:row r="17">
      <x:c r="A17" s="29" t="str">
        <x:v>Azure</x:v>
      </x:c>
      <x:c r="B17" s="29" t="str">
        <x:v>Central India</x:v>
      </x:c>
      <x:c r="C17" s="29" t="str">
        <x:v>Storage</x:v>
      </x:c>
      <x:c r="D17" s="29" t="str">
        <x:v>GB-month</x:v>
      </x:c>
      <x:c r="E17" s="46" t="n">
        <x:v>0.02</x:v>
      </x:c>
      <x:c r="F17" s="47" t="n">
        <x:f>E17*Assumptions!$B$15</x:f>
        <x:v>1.68</x:v>
      </x:c>
      <x:c r="G17" s="29" t="str">
        <x:v>https://azure.microsoft.com/pricing/details/storage/blobs/</x:v>
      </x:c>
      <x:c r="H17" s="48" t="str">
        <x:v>2026-09-03</x:v>
      </x:c>
    </x:row>
    <x:row r="18">
      <x:c r="A18" s="29" t="str">
        <x:v>Azure</x:v>
      </x:c>
      <x:c r="B18" s="29" t="str">
        <x:v>Central India</x:v>
      </x:c>
      <x:c r="C18" s="29" t="str">
        <x:v>Egress</x:v>
      </x:c>
      <x:c r="D18" s="29" t="str">
        <x:v>per GB</x:v>
      </x:c>
      <x:c r="E18" s="46" t="n">
        <x:v>0.087</x:v>
      </x:c>
      <x:c r="F18" s="47" t="n">
        <x:f>E18*Assumptions!$B$15</x:f>
        <x:v>7.308</x:v>
      </x:c>
      <x:c r="G18" s="29" t="str">
        <x:v>https://azure.microsoft.com/pricing/details/bandwidth/</x:v>
      </x:c>
      <x:c r="H18" s="48" t="str">
        <x:v>2026-09-03</x:v>
      </x:c>
    </x:row>
    <x:row r="19">
      <x:c r="A19" s="29" t="str">
        <x:v>Azure</x:v>
      </x:c>
      <x:c r="B19" s="29" t="str">
        <x:v>Central India</x:v>
      </x:c>
      <x:c r="C19" s="29" t="str">
        <x:v>Build runner</x:v>
      </x:c>
      <x:c r="D19" s="29" t="str">
        <x:v>per build minute</x:v>
      </x:c>
      <x:c r="E19" s="46" t="n">
        <x:v>0.008</x:v>
      </x:c>
      <x:c r="F19" s="47" t="n">
        <x:f>E19*Assumptions!$B$15</x:f>
        <x:v>0.672</x:v>
      </x:c>
      <x:c r="G19" s="29" t="str">
        <x:v>https://azure.microsoft.com/pricing/details/devops/azure-devops-services/</x:v>
      </x:c>
      <x:c r="H19" s="48" t="str">
        <x:v>2026-09-03</x:v>
      </x:c>
    </x:row>
    <x:row r="20">
      <x:c r="A20" s="29" t="str">
        <x:v>Azure</x:v>
      </x:c>
      <x:c r="B20" s="29" t="str">
        <x:v>Central India</x:v>
      </x:c>
      <x:c r="C20" s="29" t="str">
        <x:v>Managed database</x:v>
      </x:c>
      <x:c r="D20" s="29" t="str">
        <x:v>per hour</x:v>
      </x:c>
      <x:c r="E20" s="46" t="n">
        <x:v>0.085</x:v>
      </x:c>
      <x:c r="F20" s="47" t="n">
        <x:f>E20*Assumptions!$B$15</x:f>
        <x:v>7.140000000000001</x:v>
      </x:c>
      <x:c r="G20" s="29" t="str">
        <x:v>https://azure.microsoft.com/pricing/details/azure-sql-database/</x:v>
      </x:c>
      <x:c r="H20" s="48" t="str">
        <x:v>2026-09-03</x:v>
      </x:c>
    </x:row>
    <x:row r="21">
      <x:c r="A21" s="29" t="str">
        <x:v>Azure</x:v>
      </x:c>
      <x:c r="B21" s="29" t="str">
        <x:v>Central India</x:v>
      </x:c>
      <x:c r="C21" s="29" t="str">
        <x:v>Monitoring</x:v>
      </x:c>
      <x:c r="D21" s="29" t="str">
        <x:v>per GB</x:v>
      </x:c>
      <x:c r="E21" s="46" t="n">
        <x:v>0.5</x:v>
      </x:c>
      <x:c r="F21" s="47" t="n">
        <x:f>E21*Assumptions!$B$15</x:f>
        <x:v>42</x:v>
      </x:c>
      <x:c r="G21" s="29" t="str">
        <x:v>https://azure.microsoft.com/pricing/details/monitor/</x:v>
      </x:c>
      <x:c r="H21" s="48" t="str">
        <x:v>2026-09-03</x:v>
      </x:c>
    </x:row>
    <x:row r="22">
      <x:c r="A22" s="29" t="str">
        <x:v>GCP</x:v>
      </x:c>
      <x:c r="B22" s="29" t="str">
        <x:v>GCP Mumbai</x:v>
      </x:c>
      <x:c r="C22" s="29" t="str">
        <x:v>VM</x:v>
      </x:c>
      <x:c r="D22" s="29" t="str">
        <x:v>per hour</x:v>
      </x:c>
      <x:c r="E22" s="46" t="n">
        <x:v>0.052</x:v>
      </x:c>
      <x:c r="F22" s="47" t="n">
        <x:f>E22*Assumptions!$B$15</x:f>
        <x:v>4.367999999999999</x:v>
      </x:c>
      <x:c r="G22" s="29" t="str">
        <x:v>https://cloud.google.com/compute/vm-instance-pricing</x:v>
      </x:c>
      <x:c r="H22" s="48" t="str">
        <x:v>2026-09-03</x:v>
      </x:c>
    </x:row>
    <x:row r="23">
      <x:c r="A23" s="29" t="str">
        <x:v>GCP</x:v>
      </x:c>
      <x:c r="B23" s="29" t="str">
        <x:v>GCP Mumbai</x:v>
      </x:c>
      <x:c r="C23" s="29" t="str">
        <x:v>Kubernetes control plane</x:v>
      </x:c>
      <x:c r="D23" s="29" t="str">
        <x:v>per cluster-hour</x:v>
      </x:c>
      <x:c r="E23" s="46" t="n">
        <x:v>0.1</x:v>
      </x:c>
      <x:c r="F23" s="47" t="n">
        <x:f>E23*Assumptions!$B$15</x:f>
        <x:v>8.4</x:v>
      </x:c>
      <x:c r="G23" s="29" t="str">
        <x:v>https://cloud.google.com/kubernetes-engine/pricing</x:v>
      </x:c>
      <x:c r="H23" s="48" t="str">
        <x:v>2026-09-03</x:v>
      </x:c>
    </x:row>
    <x:row r="24">
      <x:c r="A24" s="29" t="str">
        <x:v>GCP</x:v>
      </x:c>
      <x:c r="B24" s="29" t="str">
        <x:v>GCP Mumbai</x:v>
      </x:c>
      <x:c r="C24" s="29" t="str">
        <x:v>Kubernetes worker</x:v>
      </x:c>
      <x:c r="D24" s="29" t="str">
        <x:v>per VM-hour</x:v>
      </x:c>
      <x:c r="E24" s="46" t="n">
        <x:v>0.052</x:v>
      </x:c>
      <x:c r="F24" s="47" t="n">
        <x:f>E24*Assumptions!$B$15</x:f>
        <x:v>4.367999999999999</x:v>
      </x:c>
      <x:c r="G24" s="29" t="str">
        <x:v>https://cloud.google.com/compute/vm-instance-pricing</x:v>
      </x:c>
      <x:c r="H24" s="48" t="str">
        <x:v>2026-09-03</x:v>
      </x:c>
    </x:row>
    <x:row r="25">
      <x:c r="A25" s="29" t="str">
        <x:v>GCP</x:v>
      </x:c>
      <x:c r="B25" s="29" t="str">
        <x:v>GCP Mumbai</x:v>
      </x:c>
      <x:c r="C25" s="29" t="str">
        <x:v>Disk</x:v>
      </x:c>
      <x:c r="D25" s="29" t="str">
        <x:v>GB-month</x:v>
      </x:c>
      <x:c r="E25" s="46" t="n">
        <x:v>0.085</x:v>
      </x:c>
      <x:c r="F25" s="47" t="n">
        <x:f>E25*Assumptions!$B$15</x:f>
        <x:v>7.140000000000001</x:v>
      </x:c>
      <x:c r="G25" s="29" t="str">
        <x:v>https://cloud.google.com/compute/disks-image-pricing</x:v>
      </x:c>
      <x:c r="H25" s="48" t="str">
        <x:v>2026-09-03</x:v>
      </x:c>
    </x:row>
    <x:row r="26">
      <x:c r="A26" s="29" t="str">
        <x:v>GCP</x:v>
      </x:c>
      <x:c r="B26" s="29" t="str">
        <x:v>GCP Mumbai</x:v>
      </x:c>
      <x:c r="C26" s="29" t="str">
        <x:v>Storage</x:v>
      </x:c>
      <x:c r="D26" s="29" t="str">
        <x:v>GB-month</x:v>
      </x:c>
      <x:c r="E26" s="46" t="n">
        <x:v>0.02</x:v>
      </x:c>
      <x:c r="F26" s="47" t="n">
        <x:f>E26*Assumptions!$B$15</x:f>
        <x:v>1.68</x:v>
      </x:c>
      <x:c r="G26" s="29" t="str">
        <x:v>https://cloud.google.com/storage/pricing</x:v>
      </x:c>
      <x:c r="H26" s="48" t="str">
        <x:v>2026-09-03</x:v>
      </x:c>
    </x:row>
    <x:row r="27">
      <x:c r="A27" s="29" t="str">
        <x:v>GCP</x:v>
      </x:c>
      <x:c r="B27" s="29" t="str">
        <x:v>GCP Mumbai</x:v>
      </x:c>
      <x:c r="C27" s="29" t="str">
        <x:v>Egress</x:v>
      </x:c>
      <x:c r="D27" s="29" t="str">
        <x:v>per GB</x:v>
      </x:c>
      <x:c r="E27" s="46" t="n">
        <x:v>0.12</x:v>
      </x:c>
      <x:c r="F27" s="47" t="n">
        <x:f>E27*Assumptions!$B$15</x:f>
        <x:v>10.08</x:v>
      </x:c>
      <x:c r="G27" s="29" t="str">
        <x:v>https://cloud.google.com/vpc/network-pricing</x:v>
      </x:c>
      <x:c r="H27" s="48" t="str">
        <x:v>2026-09-03</x:v>
      </x:c>
    </x:row>
    <x:row r="28">
      <x:c r="A28" s="29" t="str">
        <x:v>GCP</x:v>
      </x:c>
      <x:c r="B28" s="29" t="str">
        <x:v>GCP Mumbai</x:v>
      </x:c>
      <x:c r="C28" s="29" t="str">
        <x:v>Build runner</x:v>
      </x:c>
      <x:c r="D28" s="29" t="str">
        <x:v>per build minute</x:v>
      </x:c>
      <x:c r="E28" s="46" t="n">
        <x:v>0.003</x:v>
      </x:c>
      <x:c r="F28" s="47" t="n">
        <x:f>E28*Assumptions!$B$15</x:f>
        <x:v>0.252</x:v>
      </x:c>
      <x:c r="G28" s="29" t="str">
        <x:v>https://cloud.google.com/build/pricing</x:v>
      </x:c>
      <x:c r="H28" s="48" t="str">
        <x:v>2026-09-03</x:v>
      </x:c>
    </x:row>
    <x:row r="29">
      <x:c r="A29" s="29" t="str">
        <x:v>GCP</x:v>
      </x:c>
      <x:c r="B29" s="29" t="str">
        <x:v>GCP Mumbai</x:v>
      </x:c>
      <x:c r="C29" s="29" t="str">
        <x:v>Managed database</x:v>
      </x:c>
      <x:c r="D29" s="29" t="str">
        <x:v>per hour</x:v>
      </x:c>
      <x:c r="E29" s="46" t="n">
        <x:v>0.082</x:v>
      </x:c>
      <x:c r="F29" s="47" t="n">
        <x:f>E29*Assumptions!$B$15</x:f>
        <x:v>6.888</x:v>
      </x:c>
      <x:c r="G29" s="29" t="str">
        <x:v>https://cloud.google.com/sql/pricing</x:v>
      </x:c>
      <x:c r="H29" s="48" t="str">
        <x:v>2026-09-03</x:v>
      </x:c>
    </x:row>
    <x:row r="30">
      <x:c r="A30" s="29" t="str">
        <x:v>GCP</x:v>
      </x:c>
      <x:c r="B30" s="29" t="str">
        <x:v>GCP Mumbai</x:v>
      </x:c>
      <x:c r="C30" s="29" t="str">
        <x:v>Monitoring</x:v>
      </x:c>
      <x:c r="D30" s="29" t="str">
        <x:v>per GB</x:v>
      </x:c>
      <x:c r="E30" s="46" t="n">
        <x:v>0.5</x:v>
      </x:c>
      <x:c r="F30" s="47" t="n">
        <x:f>E30*Assumptions!$B$15</x:f>
        <x:v>42</x:v>
      </x:c>
      <x:c r="G30" s="29" t="str">
        <x:v>https://cloud.google.com/stackdriver/pricing</x:v>
      </x:c>
      <x:c r="H30" s="48" t="str">
        <x:v>2026-09-03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b3ef2a537744f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Training TOC → Infrastructure Mapping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Day</x:v>
      </x:c>
      <x:c r="B3" s="14" t="str">
        <x:v>Training topic</x:v>
      </x:c>
      <x:c r="C3" s="14" t="str">
        <x:v>VM qty</x:v>
      </x:c>
      <x:c r="D3" s="14" t="str">
        <x:v>VM profile</x:v>
      </x:c>
      <x:c r="E3" s="14" t="str">
        <x:v>K8s control plane</x:v>
      </x:c>
      <x:c r="F3" s="14" t="str">
        <x:v>K8s worker nodes</x:v>
      </x:c>
      <x:c r="G3" s="14" t="str">
        <x:v>Managed DB</x:v>
      </x:c>
      <x:c r="H3" s="14" t="str">
        <x:v>Object storage</x:v>
      </x:c>
    </x:row>
    <x:row r="4">
      <x:c r="A4" t="n">
        <x:v>1</x:v>
      </x:c>
      <x:c r="B4" t="str">
        <x:v>Python basics</x:v>
      </x:c>
      <x:c r="C4" t="n">
        <x:v>1</x:v>
      </x:c>
      <x:c r="D4" t="str">
        <x:v>Light</x:v>
      </x:c>
      <x:c r="E4" t="n">
        <x:v>0</x:v>
      </x:c>
      <x:c r="F4" t="n">
        <x:v>0</x:v>
      </x:c>
      <x:c r="G4" t="n">
        <x:v>0</x:v>
      </x:c>
      <x:c r="H4" t="n">
        <x:v>0</x:v>
      </x:c>
    </x:row>
    <x:row r="5">
      <x:c r="A5" t="n">
        <x:v>2</x:v>
      </x:c>
      <x:c r="B5" t="str">
        <x:v>Docker</x:v>
      </x:c>
      <x:c r="C5" t="n">
        <x:v>1</x:v>
      </x:c>
      <x:c r="D5" t="str">
        <x:v>Heavy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n">
        <x:v>3</x:v>
      </x:c>
      <x:c r="B6" t="str">
        <x:v>Kubernetes</x:v>
      </x:c>
      <x:c r="C6" t="n">
        <x:v>0</x:v>
      </x:c>
      <x:c r="D6" t="str">
        <x:v>None</x:v>
      </x:c>
      <x:c r="E6" t="n">
        <x:v>1</x:v>
      </x:c>
      <x:c r="F6" s="38" t="n">
        <x:f>Assumptions!B14</x:f>
        <x:v>2</x:v>
      </x:c>
      <x:c r="G6" t="n">
        <x:v>0</x:v>
      </x:c>
      <x:c r="H6" t="n">
        <x:v>0</x:v>
      </x:c>
    </x:row>
    <x:row r="7">
      <x:c r="A7" t="n">
        <x:v>4</x:v>
      </x:c>
      <x:c r="B7" t="str">
        <x:v>CI/CD</x:v>
      </x:c>
      <x:c r="C7" t="n">
        <x:v>1</x:v>
      </x:c>
      <x:c r="D7" t="str">
        <x:v>Heavy</x:v>
      </x:c>
      <x:c r="E7" t="n">
        <x:v>0</x:v>
      </x:c>
      <x:c r="F7" t="n">
        <x:v>0</x:v>
      </x:c>
      <x:c r="G7" t="n">
        <x:v>0</x:v>
      </x:c>
      <x:c r="H7" t="n">
        <x:v>0</x:v>
      </x:c>
    </x:row>
    <x:row r="8">
      <x:c r="A8" t="n">
        <x:v>5</x:v>
      </x:c>
      <x:c r="B8" t="str">
        <x:v>Database + Cloud storage</x:v>
      </x:c>
      <x:c r="C8" t="n">
        <x:v>0</x:v>
      </x:c>
      <x:c r="D8" t="str">
        <x:v>None</x:v>
      </x:c>
      <x:c r="E8" t="n">
        <x:v>0</x:v>
      </x:c>
      <x:c r="F8" t="n">
        <x:v>0</x:v>
      </x:c>
      <x:c r="G8" t="n">
        <x:v>1</x:v>
      </x:c>
      <x:c r="H8" t="n">
        <x:v>1</x:v>
      </x:c>
    </x:row>
    <x:row r="10">
      <x:c r="A10" s="54" t="str">
        <x:v>Mapping note</x:v>
      </x:c>
      <x:c r="B10" s="54" t="str"/>
      <x:c r="C10" s="54" t="str"/>
      <x:c r="D10" s="54" t="str"/>
      <x:c r="E10" s="54" t="str"/>
      <x:c r="F10" s="54" t="str"/>
      <x:c r="G10" s="54" t="str"/>
      <x:c r="H10" s="54" t="str"/>
    </x:row>
    <x:row r="11">
      <x:c r="A11" s="29" t="str">
        <x:v>Use this sheet to map every training day to the infrastructure it needs. Resource Cost Breakdown calculates each resource with its own billing unit; do not force a single generic cost formula across VM, storage, egress, build, or Kubernetes.</x:v>
      </x:c>
      <x:c r="B11" s="29"/>
      <x:c r="C11" s="29"/>
      <x:c r="D11" s="29"/>
      <x:c r="E11" s="29"/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</x:sheetData>
  <x:mergeCells>
    <x:mergeCell ref="A1:H1"/>
    <x:mergeCell ref="A10:H10"/>
    <x:mergeCell ref="A11:H12"/>
  </x:mergeCells>
  <x:pageMargins left="0.7" right="0.7" top="0.75" bottom="0.75" header="0.3" footer="0.3"/>
  <x:tableParts count="1">
    <x:tablePart xmlns:r="http://schemas.openxmlformats.org/officeDocument/2006/relationships" r:id="Rb89634c0ae844e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15" hidden="0" customWidth="1"/>
    <x:col min="5" max="5" width="17" hidden="0" customWidth="1"/>
    <x:col min="6" max="6" width="14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8" t="str">
        <x:v>Resource Cost Breakdown – Billing-Unit Based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 s="14" t="str">
        <x:v>Resource</x:v>
      </x:c>
      <x:c r="B3" s="14" t="str">
        <x:v>Quantity</x:v>
      </x:c>
      <x:c r="C3" s="14" t="str">
        <x:v>Billing unit</x:v>
      </x:c>
      <x:c r="D3" s="14" t="str">
        <x:v>Rate (INR)</x:v>
      </x:c>
      <x:c r="E3" s="14" t="str">
        <x:v>Usage driver</x:v>
      </x:c>
      <x:c r="F3" s="14" t="str">
        <x:v>Days / Hours</x:v>
      </x:c>
      <x:c r="G3" s="14" t="str">
        <x:v>Formula basis</x:v>
      </x:c>
      <x:c r="H3" s="14" t="str">
        <x:v>Total (INR)</x:v>
      </x:c>
      <x:c r="I3" s="14" t="str">
        <x:v>Provider</x:v>
      </x:c>
      <x:c r="J3" s="14" t="str">
        <x:v>Region</x:v>
      </x:c>
    </x:row>
    <x:row r="4">
      <x:c r="A4" s="29" t="str">
        <x:v>VM</x:v>
      </x:c>
      <x:c r="B4" s="29" t="n">
        <x:v>2</x:v>
      </x:c>
      <x:c r="C4" s="29" t="str">
        <x:v>per hour</x:v>
      </x:c>
      <x:c r="D4" s="47" t="n">
        <x:f>SUMIFS('Rate Card'!$F$4:$F$30,'Rate Card'!$A$4:$A$30,I4,'Rate Card'!$B$4:$B$30,J4,'Rate Card'!$C$4:$C$30,A4)</x:f>
        <x:v>4.2</x:v>
      </x:c>
      <x:c r="E4" s="29" t="str">
        <x:v>runtime hours</x:v>
      </x:c>
      <x:c r="F4" s="70" t="n">
        <x:f>Assumptions!$B$7*Assumptions!$B$8</x:f>
        <x:v>40</x:v>
      </x:c>
      <x:c r="G4" s="29" t="str">
        <x:v>Qty × Rate × Hours</x:v>
      </x:c>
      <x:c r="H4" s="71" t="n">
        <x:f>B4*D4*F4</x:f>
        <x:v>336</x:v>
      </x:c>
      <x:c r="I4" s="70" t="str">
        <x:f>Assumptions!$B$5</x:f>
        <x:v>AWS</x:v>
      </x:c>
      <x:c r="J4" s="70" t="str">
        <x:f>Assumptions!$B$6</x:f>
        <x:v>Mumbai</x:v>
      </x:c>
    </x:row>
    <x:row r="5">
      <x:c r="A5" s="29" t="str">
        <x:v>Kubernetes control plane</x:v>
      </x:c>
      <x:c r="B5" s="29" t="n">
        <x:v>1</x:v>
      </x:c>
      <x:c r="C5" s="29" t="str">
        <x:v>per cluster-hour</x:v>
      </x:c>
      <x:c r="D5" s="47" t="n">
        <x:f>SUMIFS('Rate Card'!$F$4:$F$30,'Rate Card'!$A$4:$A$30,I5,'Rate Card'!$B$4:$B$30,J5,'Rate Card'!$C$4:$C$30,A5)</x:f>
        <x:v>8.4</x:v>
      </x:c>
      <x:c r="E5" s="29" t="str">
        <x:v>runtime hours</x:v>
      </x:c>
      <x:c r="F5" s="70" t="n">
        <x:f>Assumptions!$B$7*Assumptions!$B$8</x:f>
        <x:v>40</x:v>
      </x:c>
      <x:c r="G5" s="29" t="str">
        <x:v>Qty × Rate × Hours</x:v>
      </x:c>
      <x:c r="H5" s="71" t="n">
        <x:f>B5*D5*F5</x:f>
        <x:v>336</x:v>
      </x:c>
      <x:c r="I5" s="70" t="str">
        <x:f>Assumptions!$B$5</x:f>
        <x:v>AWS</x:v>
      </x:c>
      <x:c r="J5" s="70" t="str">
        <x:f>Assumptions!$B$6</x:f>
        <x:v>Mumbai</x:v>
      </x:c>
    </x:row>
    <x:row r="6">
      <x:c r="A6" s="29" t="str">
        <x:v>Kubernetes worker</x:v>
      </x:c>
      <x:c r="B6" s="70" t="n">
        <x:f>Assumptions!B14</x:f>
        <x:v>2</x:v>
      </x:c>
      <x:c r="C6" s="29" t="str">
        <x:v>per VM-hour</x:v>
      </x:c>
      <x:c r="D6" s="47" t="n">
        <x:f>SUMIFS('Rate Card'!$F$4:$F$30,'Rate Card'!$A$4:$A$30,I6,'Rate Card'!$B$4:$B$30,J6,'Rate Card'!$C$4:$C$30,A6)</x:f>
        <x:v>4.2</x:v>
      </x:c>
      <x:c r="E6" s="29" t="str">
        <x:v>runtime hours</x:v>
      </x:c>
      <x:c r="F6" s="70" t="n">
        <x:f>Assumptions!$B$7*Assumptions!$B$8</x:f>
        <x:v>40</x:v>
      </x:c>
      <x:c r="G6" s="29" t="str">
        <x:v>Nodes × Rate × Hours</x:v>
      </x:c>
      <x:c r="H6" s="71" t="n">
        <x:f>B6*D6*F6</x:f>
        <x:v>336</x:v>
      </x:c>
      <x:c r="I6" s="70" t="str">
        <x:f>Assumptions!$B$5</x:f>
        <x:v>AWS</x:v>
      </x:c>
      <x:c r="J6" s="70" t="str">
        <x:f>Assumptions!$B$6</x:f>
        <x:v>Mumbai</x:v>
      </x:c>
    </x:row>
    <x:row r="7">
      <x:c r="A7" s="29" t="str">
        <x:v>Disk</x:v>
      </x:c>
      <x:c r="B7" s="29" t="n">
        <x:v>50</x:v>
      </x:c>
      <x:c r="C7" s="29" t="str">
        <x:v>GB-month</x:v>
      </x:c>
      <x:c r="D7" s="47" t="n">
        <x:f>SUMIFS('Rate Card'!$F$4:$F$30,'Rate Card'!$A$4:$A$30,I7,'Rate Card'!$B$4:$B$30,J7,'Rate Card'!$C$4:$C$30,A7)</x:f>
        <x:v>6.72</x:v>
      </x:c>
      <x:c r="E7" s="29" t="str">
        <x:v>prorated days</x:v>
      </x:c>
      <x:c r="F7" s="70" t="n">
        <x:f>Assumptions!$B$8</x:f>
        <x:v>5</x:v>
      </x:c>
      <x:c r="G7" s="29" t="str">
        <x:v>GB × Monthly Rate × Days / 30</x:v>
      </x:c>
      <x:c r="H7" s="71" t="n">
        <x:f>B7*D7*F7/30</x:f>
        <x:v>56</x:v>
      </x:c>
      <x:c r="I7" s="70" t="str">
        <x:f>Assumptions!$B$5</x:f>
        <x:v>AWS</x:v>
      </x:c>
      <x:c r="J7" s="70" t="str">
        <x:f>Assumptions!$B$6</x:f>
        <x:v>Mumbai</x:v>
      </x:c>
    </x:row>
    <x:row r="8">
      <x:c r="A8" s="29" t="str">
        <x:v>Storage</x:v>
      </x:c>
      <x:c r="B8" s="70" t="n">
        <x:f>Assumptions!B10</x:f>
        <x:v>20</x:v>
      </x:c>
      <x:c r="C8" s="29" t="str">
        <x:v>GB-month</x:v>
      </x:c>
      <x:c r="D8" s="47" t="n">
        <x:f>SUMIFS('Rate Card'!$F$4:$F$30,'Rate Card'!$A$4:$A$30,I8,'Rate Card'!$B$4:$B$30,J8,'Rate Card'!$C$4:$C$30,A8)</x:f>
        <x:v>1.932</x:v>
      </x:c>
      <x:c r="E8" s="29" t="str">
        <x:v>prorated days</x:v>
      </x:c>
      <x:c r="F8" s="70" t="n">
        <x:f>Assumptions!$B$8</x:f>
        <x:v>5</x:v>
      </x:c>
      <x:c r="G8" s="29" t="str">
        <x:v>GB × Monthly Rate × Days / 30</x:v>
      </x:c>
      <x:c r="H8" s="71" t="n">
        <x:f>B8*D8*F8/30</x:f>
        <x:v>6.4399999999999995</x:v>
      </x:c>
      <x:c r="I8" s="70" t="str">
        <x:f>Assumptions!$B$5</x:f>
        <x:v>AWS</x:v>
      </x:c>
      <x:c r="J8" s="70" t="str">
        <x:f>Assumptions!$B$6</x:f>
        <x:v>Mumbai</x:v>
      </x:c>
    </x:row>
    <x:row r="9">
      <x:c r="A9" s="29" t="str">
        <x:v>Egress</x:v>
      </x:c>
      <x:c r="B9" s="70" t="n">
        <x:f>Assumptions!B11</x:f>
        <x:v>10</x:v>
      </x:c>
      <x:c r="C9" s="29" t="str">
        <x:v>per GB</x:v>
      </x:c>
      <x:c r="D9" s="47" t="n">
        <x:f>SUMIFS('Rate Card'!$F$4:$F$30,'Rate Card'!$A$4:$A$30,I9,'Rate Card'!$B$4:$B$30,J9,'Rate Card'!$C$4:$C$30,A9)</x:f>
        <x:v>7.56</x:v>
      </x:c>
      <x:c r="E9" s="29" t="str">
        <x:v>one-time</x:v>
      </x:c>
      <x:c r="F9" s="29" t="n">
        <x:v>1</x:v>
      </x:c>
      <x:c r="G9" s="29" t="str">
        <x:v>GB × Rate</x:v>
      </x:c>
      <x:c r="H9" s="71" t="n">
        <x:f>B9*D9</x:f>
        <x:v>75.6</x:v>
      </x:c>
      <x:c r="I9" s="70" t="str">
        <x:f>Assumptions!$B$5</x:f>
        <x:v>AWS</x:v>
      </x:c>
      <x:c r="J9" s="70" t="str">
        <x:f>Assumptions!$B$6</x:f>
        <x:v>Mumbai</x:v>
      </x:c>
    </x:row>
    <x:row r="10">
      <x:c r="A10" s="29" t="str">
        <x:v>Build runner</x:v>
      </x:c>
      <x:c r="B10" s="70" t="n">
        <x:f>Assumptions!B12</x:f>
        <x:v>120</x:v>
      </x:c>
      <x:c r="C10" s="29" t="str">
        <x:v>per build minute</x:v>
      </x:c>
      <x:c r="D10" s="47" t="n">
        <x:f>SUMIFS('Rate Card'!$F$4:$F$30,'Rate Card'!$A$4:$A$30,I10,'Rate Card'!$B$4:$B$30,J10,'Rate Card'!$C$4:$C$30,A10)</x:f>
        <x:v>0.672</x:v>
      </x:c>
      <x:c r="E10" s="29" t="str">
        <x:v>one-time</x:v>
      </x:c>
      <x:c r="F10" s="29" t="n">
        <x:v>1</x:v>
      </x:c>
      <x:c r="G10" s="29" t="str">
        <x:v>Minutes × Rate</x:v>
      </x:c>
      <x:c r="H10" s="71" t="n">
        <x:f>B10*D10</x:f>
        <x:v>80.64</x:v>
      </x:c>
      <x:c r="I10" s="70" t="str">
        <x:f>Assumptions!$B$5</x:f>
        <x:v>AWS</x:v>
      </x:c>
      <x:c r="J10" s="70" t="str">
        <x:f>Assumptions!$B$6</x:f>
        <x:v>Mumbai</x:v>
      </x:c>
    </x:row>
    <x:row r="11">
      <x:c r="A11" s="29" t="str">
        <x:v>Managed database</x:v>
      </x:c>
      <x:c r="B11" s="29" t="n">
        <x:v>1</x:v>
      </x:c>
      <x:c r="C11" s="29" t="str">
        <x:v>per hour</x:v>
      </x:c>
      <x:c r="D11" s="47" t="n">
        <x:f>SUMIFS('Rate Card'!$F$4:$F$30,'Rate Card'!$A$4:$A$30,I11,'Rate Card'!$B$4:$B$30,J11,'Rate Card'!$C$4:$C$30,A11)</x:f>
        <x:v>6.72</x:v>
      </x:c>
      <x:c r="E11" s="29" t="str">
        <x:v>runtime hours</x:v>
      </x:c>
      <x:c r="F11" s="70" t="n">
        <x:f>Assumptions!$B$7*Assumptions!$B$8</x:f>
        <x:v>40</x:v>
      </x:c>
      <x:c r="G11" s="29" t="str">
        <x:v>Qty × Rate × Hours</x:v>
      </x:c>
      <x:c r="H11" s="71" t="n">
        <x:f>B11*D11*F11</x:f>
        <x:v>268.8</x:v>
      </x:c>
      <x:c r="I11" s="70" t="str">
        <x:f>Assumptions!$B$5</x:f>
        <x:v>AWS</x:v>
      </x:c>
      <x:c r="J11" s="70" t="str">
        <x:f>Assumptions!$B$6</x:f>
        <x:v>Mumbai</x:v>
      </x:c>
    </x:row>
    <x:row r="12">
      <x:c r="A12" s="29" t="str">
        <x:v>Monitoring</x:v>
      </x:c>
      <x:c r="B12" s="70" t="n">
        <x:f>Assumptions!B13</x:f>
        <x:v>5</x:v>
      </x:c>
      <x:c r="C12" s="29" t="str">
        <x:v>per GB</x:v>
      </x:c>
      <x:c r="D12" s="47" t="n">
        <x:f>SUMIFS('Rate Card'!$F$4:$F$30,'Rate Card'!$A$4:$A$30,I12,'Rate Card'!$B$4:$B$30,J12,'Rate Card'!$C$4:$C$30,A12)</x:f>
        <x:v>42</x:v>
      </x:c>
      <x:c r="E12" s="29" t="str">
        <x:v>one-time</x:v>
      </x:c>
      <x:c r="F12" s="29" t="n">
        <x:v>1</x:v>
      </x:c>
      <x:c r="G12" s="29" t="str">
        <x:v>GB × Rate</x:v>
      </x:c>
      <x:c r="H12" s="71" t="n">
        <x:f>B12*D12</x:f>
        <x:v>210</x:v>
      </x:c>
      <x:c r="I12" s="70" t="str">
        <x:f>Assumptions!$B$5</x:f>
        <x:v>AWS</x:v>
      </x:c>
      <x:c r="J12" s="70" t="str">
        <x:f>Assumptions!$B$6</x:f>
        <x:v>Mumbai</x:v>
      </x:c>
    </x:row>
    <x:row r="13">
      <x:c r="A13" s="29"/>
      <x:c r="B13" s="29"/>
      <x:c r="C13" s="29"/>
      <x:c r="D13" s="29"/>
      <x:c r="E13" s="29"/>
      <x:c r="F13" s="29"/>
      <x:c r="G13" s="29"/>
      <x:c r="H13" s="72"/>
      <x:c r="I13" s="29"/>
      <x:c r="J13" s="29"/>
    </x:row>
    <x:row r="14">
      <x:c r="A14" s="73" t="str">
        <x:v>Total Infrastructure Cost</x:v>
      </x:c>
      <x:c r="B14" s="73"/>
      <x:c r="C14" s="73"/>
      <x:c r="D14" s="73"/>
      <x:c r="E14" s="73"/>
      <x:c r="F14" s="73"/>
      <x:c r="G14" s="73"/>
      <x:c r="H14" s="74" t="n">
        <x:f>SUM(H4:H12)</x:f>
        <x:v>1705.48</x:v>
      </x:c>
      <x:c r="I14" s="29"/>
      <x:c r="J14" s="29"/>
    </x:row>
  </x:sheetData>
  <x:mergeCells>
    <x:mergeCell ref="A1:J1"/>
    <x:mergeCell ref="A14:G14"/>
  </x:mergeCells>
  <x:pageMargins left="0.7" right="0.7" top="0.75" bottom="0.75" header="0.3" footer="0.3"/>
  <x:tableParts count="1">
    <x:tablePart xmlns:r="http://schemas.openxmlformats.org/officeDocument/2006/relationships" r:id="R23a9e0aa0ebe49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28" t="str">
        <x:v>Client Lab Cost Estimate</x:v>
      </x:c>
      <x:c r="B1" s="28"/>
      <x:c r="C1" s="28"/>
      <x:c r="D1" s="28"/>
    </x:row>
    <x:row r="2">
      <x:c r="A2" s="29"/>
      <x:c r="B2" s="29"/>
      <x:c r="C2" s="29"/>
      <x:c r="D2" s="29"/>
    </x:row>
    <x:row r="3">
      <x:c r="A3" s="73" t="str">
        <x:v>CLIENT QUOTE SUMMARY</x:v>
      </x:c>
      <x:c r="B3" s="73"/>
      <x:c r="C3" s="73"/>
      <x:c r="D3" s="73"/>
    </x:row>
    <x:row r="4">
      <x:c r="A4" s="30" t="str">
        <x:v>Training title</x:v>
      </x:c>
      <x:c r="B4" s="70" t="str">
        <x:f>Assumptions!B4</x:f>
        <x:v>DevOps Cloud Lab Training</x:v>
      </x:c>
      <x:c r="C4" s="70" t="str"/>
      <x:c r="D4" s="70" t="str"/>
    </x:row>
    <x:row r="5">
      <x:c r="A5" s="30" t="str">
        <x:v>Cloud provider and region</x:v>
      </x:c>
      <x:c r="B5" s="70" t="str">
        <x:f>Assumptions!B5&amp;" – "&amp;Assumptions!B6</x:f>
        <x:v>AWS – Mumbai</x:v>
      </x:c>
      <x:c r="C5" s="70" t="str"/>
      <x:c r="D5" s="70" t="str"/>
    </x:row>
    <x:row r="6">
      <x:c r="A6" s="30" t="str">
        <x:v>Number of participants</x:v>
      </x:c>
      <x:c r="B6" s="70" t="n">
        <x:f>Assumptions!B9</x:f>
        <x:v>20</x:v>
      </x:c>
      <x:c r="C6" s="70" t="str"/>
      <x:c r="D6" s="70" t="str"/>
    </x:row>
    <x:row r="7">
      <x:c r="A7" s="30" t="str">
        <x:v>Training days and hours/day</x:v>
      </x:c>
      <x:c r="B7" s="70" t="str">
        <x:f>Assumptions!B8&amp;" days × "&amp;Assumptions!B7&amp;" hours/day"</x:f>
        <x:v>5 days × 8 hours/day</x:v>
      </x:c>
      <x:c r="C7" s="70" t="str"/>
      <x:c r="D7" s="70" t="str"/>
    </x:row>
    <x:row r="8">
      <x:c r="A8" s="30" t="str">
        <x:v>Infrastructure cost</x:v>
      </x:c>
      <x:c r="B8" s="47" t="n">
        <x:f>'Resource Cost Breakdown'!H14</x:f>
        <x:v>1705.48</x:v>
      </x:c>
      <x:c r="C8" s="47" t="str"/>
      <x:c r="D8" s="47" t="str"/>
    </x:row>
    <x:row r="9">
      <x:c r="A9" s="30" t="str">
        <x:v>Support cost</x:v>
      </x:c>
      <x:c r="B9" s="47" t="n">
        <x:f>IF(Assumptions!B18="Basic",5000,IF(Assumptions!B18="Standard",10000,20000))</x:f>
        <x:v>10000</x:v>
      </x:c>
      <x:c r="C9" s="47" t="str"/>
      <x:c r="D9" s="47" t="str"/>
    </x:row>
    <x:row r="10">
      <x:c r="A10" s="30" t="str">
        <x:v>Contingency</x:v>
      </x:c>
      <x:c r="B10" s="47" t="n">
        <x:f>(B8+B9)*Assumptions!B16</x:f>
        <x:v>1170.548</x:v>
      </x:c>
      <x:c r="C10" s="47" t="str"/>
      <x:c r="D10" s="47" t="str"/>
    </x:row>
    <x:row r="11">
      <x:c r="A11" s="30" t="str">
        <x:v>Tax / GST</x:v>
      </x:c>
      <x:c r="B11" s="47" t="n">
        <x:f>(B8+B9+B10)*Assumptions!B17</x:f>
        <x:v>2317.68504</x:v>
      </x:c>
      <x:c r="C11" s="47" t="str"/>
      <x:c r="D11" s="47" t="str"/>
    </x:row>
    <x:row r="12">
      <x:c r="A12" s="86" t="str">
        <x:v>Final estimated cost</x:v>
      </x:c>
      <x:c r="B12" s="87" t="n">
        <x:f>B8+B9+B10+B11</x:f>
        <x:v>15193.71304</x:v>
      </x:c>
      <x:c r="C12" s="87" t="str"/>
      <x:c r="D12" s="87" t="str"/>
    </x:row>
    <x:row r="13">
      <x:c r="A13" s="86" t="str">
        <x:v>Cost per participant</x:v>
      </x:c>
      <x:c r="B13" s="87" t="n">
        <x:f>B12/Assumptions!B9</x:f>
        <x:v>759.685652</x:v>
      </x:c>
      <x:c r="C13" s="87" t="str"/>
      <x:c r="D13" s="87" t="str"/>
    </x:row>
    <x:row r="14">
      <x:c r="A14" s="30" t="str">
        <x:v>Quote validity</x:v>
      </x:c>
      <x:c r="B14" s="70" t="str">
        <x:f>Assumptions!B19&amp;" days from quote date"</x:f>
        <x:v>15 days from quote date</x:v>
      </x:c>
      <x:c r="C14" s="70" t="str"/>
      <x:c r="D14" s="70" t="str"/>
    </x:row>
    <x:row r="15">
      <x:c r="A15" s="29"/>
      <x:c r="B15" s="29"/>
      <x:c r="C15" s="29"/>
      <x:c r="D15" s="29"/>
    </x:row>
    <x:row r="16">
      <x:c r="A16" s="73" t="str">
        <x:v>Estimate notes</x:v>
      </x:c>
      <x:c r="B16" s="73"/>
      <x:c r="C16" s="73"/>
      <x:c r="D16" s="73"/>
    </x:row>
    <x:row r="17">
      <x:c r="A17" s="29" t="str">
        <x:v>This estimate is driven by the selected cloud provider, region, training duration, participant count, resource usage, and current rate-card assumptions. Storage is prorated by days; VM/Kubernetes/database resources use runtime hours; egress and build usage are charged by their own billing units.</x:v>
      </x:c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</x:sheetData>
  <x:mergeCells>
    <x:mergeCell ref="A1:D1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A16:D16"/>
    <x:mergeCell ref="A17:D19"/>
  </x:mergeCells>
  <x:pageMargins left="0.7" right="0.7" top="0.75" bottom="0.75" header="0.3" footer="0.3"/>
</x:worksheet>
</file>