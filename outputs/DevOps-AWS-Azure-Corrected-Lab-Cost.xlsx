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b Cost Estimate" sheetId="1" state="visible" r:id="rId3"/>
  </sheets>
  <definedNames>
    <definedName function="false" hidden="false" localSheetId="0" name="_xlnm.Print_Area" vbProcedure="false">'Lab Cost Estimate'!$A$1:$K$319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26" authorId="0">
      <text>
        <r>
          <rPr>
            <sz val="10"/>
            <rFont val="DejaVu Sans"/>
            <family val="2"/>
          </rPr>
          <t xml:space="preserve">SKU 4NK2QE2HS7XC4TZC; dimension 4NK2QE2HS7XC4TZC.JRTCKXETXF.6YS6EN2CT7; effective 2026-09-01;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DejaVu Sans"/>
            <family val="2"/>
          </rPr>
          <t xml:space="preserve">SKU RQJ9MJY8F5PSNNWU; dimension RQJ9MJY8F5PSNNWU.JRTCKXETXF.6YS6EN2CT7; effective 2026-08-01;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DejaVu Sans"/>
            <family val="2"/>
          </rPr>
          <t xml:space="preserve">SKU WSEUB4NX5HQYMN3K; dimension WSEUB4NX5HQYMN3K.JRTCKXETXF.6YS6EN2CT7; effective 2026-09-01;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DejaVu Sans"/>
            <family val="2"/>
          </rPr>
          <t xml:space="preserve">SKU D7RMW443YWTMZ4V5; dimension D7RMW443YWTMZ4V5.JRTCKXETXF.6YS6EN2CT7; effective 2026-09-01;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DejaVu Sans"/>
            <family val="2"/>
          </rPr>
          <t xml:space="preserve">S3 Standard first-tier estimate, at most 51200 GB; excludes request charges and account-level volume discounts. Regenerate if storage quantities change.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DejaVu Sans"/>
            <family val="2"/>
          </rPr>
          <t xml:space="preserve">SKU DZH318Z0BQ35/00PM; dimension 734de0e1-404b-4c78-a340-a5f6498aca77; effective 2025-10-01T00:00:00Z;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DejaVu Sans"/>
            <family val="2"/>
          </rPr>
          <t xml:space="preserve">SKU DZH318Z0CQSH/0011; dimension 251a08e1-40d6-48e6-8368-4c3e5ee3bbff; effective 2020-09-01T00:00:00Z;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DejaVu Sans"/>
            <family val="2"/>
          </rPr>
          <t xml:space="preserve">SKU DZH318Z08M9W/007H; dimension 2382d92d-4ce9-5330-9bb4-8ec9120e6a64; effective 2021-11-01T00:00:00Z;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DejaVu Sans"/>
            <family val="2"/>
          </rPr>
          <t xml:space="preserve">Premium SSD P4 LRS: one 32-GiB disk per node; monthly disk price divided by 32 for workbook arithmetic. Keep disk size at 32 GiB; regenerate to change SKU. Retention uses the workbook 30-day month estimate.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DejaVu Sans"/>
            <family val="2"/>
          </rPr>
          <t xml:space="preserve">SKU DZH318Z0BZ18/0014; dimension e7835f46-4557-4a90-b05a-9033deda4811; effective 2021-10-01T00:00:00Z; USD public retail price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-197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<sst xmlns="http://schemas.openxmlformats.org/spreadsheetml/2006/main" count="1050" uniqueCount="289">
  <si>
    <t xml:space="preserve">Cloud lab cost estimate</t>
  </si>
  <si>
    <t xml:space="preserve">Provider totals are separate. Use the cloud(s) required by the course; do not add alternatives.</t>
  </si>
  <si>
    <t xml:space="preserve">AWS — Resource Cost Breakdown</t>
  </si>
  <si>
    <t xml:space="preserve">Resource Cost Breakdown – Billing-Unit Based</t>
  </si>
  <si>
    <t xml:space="preserve">Resource</t>
  </si>
  <si>
    <t xml:space="preserve">Quantity</t>
  </si>
  <si>
    <t xml:space="preserve">Billing unit</t>
  </si>
  <si>
    <t xml:space="preserve">Rate (INR)</t>
  </si>
  <si>
    <t xml:space="preserve">Usage driver</t>
  </si>
  <si>
    <t xml:space="preserve">Days / Hours</t>
  </si>
  <si>
    <t xml:space="preserve">Formula basis</t>
  </si>
  <si>
    <t xml:space="preserve">Total (INR)</t>
  </si>
  <si>
    <t xml:space="preserve">Provider</t>
  </si>
  <si>
    <t xml:space="preserve">Region</t>
  </si>
  <si>
    <t xml:space="preserve">VM (profiled)</t>
  </si>
  <si>
    <t xml:space="preserve">per hour</t>
  </si>
  <si>
    <t xml:space="preserve">runtime hours</t>
  </si>
  <si>
    <t xml:space="preserve">Light/Heavy VM-days × respective rate × Hours/day</t>
  </si>
  <si>
    <t xml:space="preserve">Kubernetes control plane</t>
  </si>
  <si>
    <t xml:space="preserve">per cluster-hour</t>
  </si>
  <si>
    <t xml:space="preserve">Resource-days × Rate × Hours/day</t>
  </si>
  <si>
    <t xml:space="preserve">Kubernetes worker</t>
  </si>
  <si>
    <t xml:space="preserve">per VM-hour</t>
  </si>
  <si>
    <t xml:space="preserve">Disk</t>
  </si>
  <si>
    <t xml:space="preserve">GB-month</t>
  </si>
  <si>
    <t xml:space="preserve">prorated days</t>
  </si>
  <si>
    <t xml:space="preserve">GB-node-days × monthly rate / 30</t>
  </si>
  <si>
    <t xml:space="preserve">Storage</t>
  </si>
  <si>
    <t xml:space="preserve">GB-days × monthly rate / 30</t>
  </si>
  <si>
    <t xml:space="preserve">Egress</t>
  </si>
  <si>
    <t xml:space="preserve">per GB</t>
  </si>
  <si>
    <t xml:space="preserve">one-time</t>
  </si>
  <si>
    <t xml:space="preserve">GB × Rate</t>
  </si>
  <si>
    <t xml:space="preserve">Build runner</t>
  </si>
  <si>
    <t xml:space="preserve">per build minute</t>
  </si>
  <si>
    <t xml:space="preserve">Minutes × Rate</t>
  </si>
  <si>
    <t xml:space="preserve">Managed database</t>
  </si>
  <si>
    <t xml:space="preserve">Monitoring</t>
  </si>
  <si>
    <t xml:space="preserve">Total Infrastructure Cost</t>
  </si>
  <si>
    <t xml:space="preserve">AWS — Client Estimate</t>
  </si>
  <si>
    <t xml:space="preserve">Client Lab Cost Estimate</t>
  </si>
  <si>
    <t xml:space="preserve">CLIENT QUOTE SUMMARY</t>
  </si>
  <si>
    <t xml:space="preserve">Training title</t>
  </si>
  <si>
    <t xml:space="preserve">Cloud provider and region</t>
  </si>
  <si>
    <t xml:space="preserve">Number of participants</t>
  </si>
  <si>
    <t xml:space="preserve">Training days and hours/day</t>
  </si>
  <si>
    <t xml:space="preserve">Infrastructure cost</t>
  </si>
  <si>
    <t xml:space="preserve">Support cost</t>
  </si>
  <si>
    <t xml:space="preserve">Contingency</t>
  </si>
  <si>
    <t xml:space="preserve">Tax / GST</t>
  </si>
  <si>
    <t xml:space="preserve">Final estimated cost</t>
  </si>
  <si>
    <t xml:space="preserve">Cost per participant</t>
  </si>
  <si>
    <t xml:space="preserve">Quote validity</t>
  </si>
  <si>
    <t xml:space="preserve">Estimate notes</t>
  </si>
  <si>
    <t xml:space="preserve">Fresh public retail rates checked: 2026-09-14T08:10:58.119393+00:00. Valid until: 2026-09-21T08:10:58.119393+00:00. Price-change review: not triggered. See Live Price Check. Account discounts and future usage may differ.</t>
  </si>
  <si>
    <t xml:space="preserve">AZURE — Resource Cost Breakdown</t>
  </si>
  <si>
    <t xml:space="preserve">AZURE — Client Estimate</t>
  </si>
  <si>
    <t xml:space="preserve">Fresh public retail rates checked: 2026-09-14T08:11:03.199234+00:00. Valid until: 2026-09-21T08:11:03.199234+00:00. Price-change review: not triggered. See Live Price Check. Account discounts and future usage may differ.</t>
  </si>
  <si>
    <t xml:space="preserve">AWS — Assumptions</t>
  </si>
  <si>
    <t xml:space="preserve">Lab Cost Model – Assumptions</t>
  </si>
  <si>
    <t xml:space="preserve">Assumption</t>
  </si>
  <si>
    <t xml:space="preserve">Value</t>
  </si>
  <si>
    <t xml:space="preserve">Unit / Option</t>
  </si>
  <si>
    <t xml:space="preserve">Notes</t>
  </si>
  <si>
    <t xml:space="preserve">DevOps Mastery</t>
  </si>
  <si>
    <t xml:space="preserve">Text</t>
  </si>
  <si>
    <t xml:space="preserve">Client-facing title</t>
  </si>
  <si>
    <t xml:space="preserve">Cloud provider</t>
  </si>
  <si>
    <t xml:space="preserve">AWS</t>
  </si>
  <si>
    <t xml:space="preserve">AWS / Azure / GCP</t>
  </si>
  <si>
    <t xml:space="preserve">Select provider</t>
  </si>
  <si>
    <t xml:space="preserve">Mumbai</t>
  </si>
  <si>
    <t xml:space="preserve">Mumbai / Central India / GCP Mumbai</t>
  </si>
  <si>
    <t xml:space="preserve">Select matching region</t>
  </si>
  <si>
    <t xml:space="preserve">Hours per day</t>
  </si>
  <si>
    <t xml:space="preserve">hours</t>
  </si>
  <si>
    <t xml:space="preserve">Lab runtime per training day</t>
  </si>
  <si>
    <t xml:space="preserve">Training days</t>
  </si>
  <si>
    <t xml:space="preserve">days</t>
  </si>
  <si>
    <t xml:space="preserve">Total training days</t>
  </si>
  <si>
    <t xml:space="preserve">Participants</t>
  </si>
  <si>
    <t xml:space="preserve">people</t>
  </si>
  <si>
    <t xml:space="preserve">Number of learners</t>
  </si>
  <si>
    <t xml:space="preserve">Storage GB</t>
  </si>
  <si>
    <t xml:space="preserve">GB</t>
  </si>
  <si>
    <t xml:space="preserve">Object storage requirement</t>
  </si>
  <si>
    <t xml:space="preserve">Data egress GB</t>
  </si>
  <si>
    <t xml:space="preserve">Estimated outbound transfer</t>
  </si>
  <si>
    <t xml:space="preserve">Build minutes</t>
  </si>
  <si>
    <t xml:space="preserve">minutes</t>
  </si>
  <si>
    <t xml:space="preserve">CI/CD runner usage</t>
  </si>
  <si>
    <t xml:space="preserve">Monitoring GB</t>
  </si>
  <si>
    <t xml:space="preserve">Monitoring/log ingestion</t>
  </si>
  <si>
    <t xml:space="preserve">Kubernetes worker nodes</t>
  </si>
  <si>
    <t xml:space="preserve">nodes</t>
  </si>
  <si>
    <t xml:space="preserve">Worker count when Kubernetes is used</t>
  </si>
  <si>
    <t xml:space="preserve">USD-to-INR rate</t>
  </si>
  <si>
    <t xml:space="preserve">INR/USD</t>
  </si>
  <si>
    <t xml:space="preserve">Update with current conversion rate</t>
  </si>
  <si>
    <t xml:space="preserve">Contingency percentage</t>
  </si>
  <si>
    <t xml:space="preserve">%</t>
  </si>
  <si>
    <t xml:space="preserve">Risk buffer</t>
  </si>
  <si>
    <t xml:space="preserve">GST percentage</t>
  </si>
  <si>
    <t xml:space="preserve">India GST assumption</t>
  </si>
  <si>
    <t xml:space="preserve">Package</t>
  </si>
  <si>
    <t xml:space="preserve">Standard</t>
  </si>
  <si>
    <t xml:space="preserve">Basic / Standard / Advanced</t>
  </si>
  <si>
    <t xml:space="preserve">Controls support pricing</t>
  </si>
  <si>
    <t xml:space="preserve">Validity from quote date</t>
  </si>
  <si>
    <t xml:space="preserve">Disk GB per VM / worker node</t>
  </si>
  <si>
    <t xml:space="preserve">Explicit sizing assumption; replace with lab-template node sizing when supplied</t>
  </si>
  <si>
    <t xml:space="preserve">Applied support rate (INR / participant-day)</t>
  </si>
  <si>
    <t xml:space="preserve">INR / participant-day</t>
  </si>
  <si>
    <t xml:space="preserve">Formula selects the applied support tier; total scales with participants and training days</t>
  </si>
  <si>
    <t xml:space="preserve">Advanced support threshold</t>
  </si>
  <si>
    <t xml:space="preserve">participant-days</t>
  </si>
  <si>
    <t xml:space="preserve">At or above this engagement size, Standard is automatically quoted as Advanced support</t>
  </si>
  <si>
    <t xml:space="preserve">Applied support tier</t>
  </si>
  <si>
    <t xml:space="preserve">tier</t>
  </si>
  <si>
    <t xml:space="preserve">Uses participant count × training days</t>
  </si>
  <si>
    <t xml:space="preserve">Basic support rate</t>
  </si>
  <si>
    <t xml:space="preserve">Editable commercial rate</t>
  </si>
  <si>
    <t xml:space="preserve">Standard support rate</t>
  </si>
  <si>
    <t xml:space="preserve">Advanced support rate</t>
  </si>
  <si>
    <t xml:space="preserve">VM profile pricing status</t>
  </si>
  <si>
    <t xml:space="preserve">Live profile rates supplied</t>
  </si>
  <si>
    <t xml:space="preserve">2026-09-14T08:10:58.119393+00:00</t>
  </si>
  <si>
    <t xml:space="preserve">Enter vm_profile_rates and vm_profile_sources with current provider URLs before final client approval</t>
  </si>
  <si>
    <t xml:space="preserve">Rate snapshot ID</t>
  </si>
  <si>
    <t xml:space="preserve">LCQ-C732A86589A14F63BCF04D05FA3BFCFD</t>
  </si>
  <si>
    <t xml:space="preserve">audit ID</t>
  </si>
  <si>
    <t xml:space="preserve">Use this ID to retrieve the rate snapshot and calculation record</t>
  </si>
  <si>
    <t xml:space="preserve">Pricing status</t>
  </si>
  <si>
    <t xml:space="preserve">provider_api_verified_public_retail</t>
  </si>
  <si>
    <t xml:space="preserve">status</t>
  </si>
  <si>
    <t xml:space="preserve">Live SKU rates and official source URLs are required before final client approval</t>
  </si>
  <si>
    <t xml:space="preserve">Rate source</t>
  </si>
  <si>
    <t xml:space="preserve">https://pricing.us-east-1.amazonaws.com/offers/v1.0/aws/AmazonEC2/current/ap-south-1/index.csv</t>
  </si>
  <si>
    <t xml:space="preserve">URL</t>
  </si>
  <si>
    <t xml:space="preserve">Official provider pricing page or approved pricing-export URL</t>
  </si>
  <si>
    <t xml:space="preserve">Rates checked at (UTC)</t>
  </si>
  <si>
    <t xml:space="preserve">timestamp</t>
  </si>
  <si>
    <t xml:space="preserve">Rate snapshot timestamp</t>
  </si>
  <si>
    <t xml:space="preserve">Quote valid until (UTC)</t>
  </si>
  <si>
    <t xml:space="preserve">2026-09-21T08:10:58.119393+00:00</t>
  </si>
  <si>
    <t xml:space="preserve">Recalculate from current rates after this time</t>
  </si>
  <si>
    <t xml:space="preserve">Price-change review threshold</t>
  </si>
  <si>
    <t xml:space="preserve">Escalate for review when refreshed pricing changes beyond this threshold</t>
  </si>
  <si>
    <t xml:space="preserve">Lab architecture</t>
  </si>
  <si>
    <t xml:space="preserve">Proposed learner VMs with shared EKS and 10 GB S3 where required by the TOC. No resources provisioned. Egress, managed build, monitoring and S3 request charges excluded; delete lab resources after each mapped period.</t>
  </si>
  <si>
    <t xml:space="preserve">assumption</t>
  </si>
  <si>
    <t xml:space="preserve">Quantities are total resources; learner VMs scale with participants, shared services do not</t>
  </si>
  <si>
    <t xml:space="preserve">FX status</t>
  </si>
  <si>
    <t xml:space="preserve">User-supplied assumption</t>
  </si>
  <si>
    <t xml:space="preserve">USD/INR is not verified by the cloud price lookup; confirm before approval</t>
  </si>
  <si>
    <t xml:space="preserve">Support pricing status</t>
  </si>
  <si>
    <t xml:space="preserve">Unconfigured / zero charge</t>
  </si>
  <si>
    <t xml:space="preserve">No support price is invented. Confirm the applied tier rate before client approval</t>
  </si>
  <si>
    <t xml:space="preserve">Quote approval status</t>
  </si>
  <si>
    <t xml:space="preserve">Draft — commercial review required</t>
  </si>
  <si>
    <t xml:space="preserve">Provider verification covers selected resource rates only; confirm architecture, access hours, support, FX, taxes and exclusions</t>
  </si>
  <si>
    <t xml:space="preserve">AWS — Rate Card</t>
  </si>
  <si>
    <t xml:space="preserve">Rate Card – Editable Provider Pricing</t>
  </si>
  <si>
    <t xml:space="preserve">USD rate</t>
  </si>
  <si>
    <t xml:space="preserve">INR rate</t>
  </si>
  <si>
    <t xml:space="preserve">Source URL</t>
  </si>
  <si>
    <t xml:space="preserve">Last verified date</t>
  </si>
  <si>
    <t xml:space="preserve">VM</t>
  </si>
  <si>
    <t xml:space="preserve">https://pricing.us-east-1.amazonaws.com/offers/v1.0/aws/AmazonEKS/current/ap-south-1/index.csv</t>
  </si>
  <si>
    <t xml:space="preserve">https://pricing.us-east-1.amazonaws.com/offers/v1.0/aws/AmazonS3/current/ap-south-1/index.csv</t>
  </si>
  <si>
    <t xml:space="preserve">https://aws.amazon.com/pricing/</t>
  </si>
  <si>
    <t xml:space="preserve">Azure</t>
  </si>
  <si>
    <t xml:space="preserve">Central India</t>
  </si>
  <si>
    <t xml:space="preserve">https://azure.microsoft.com/pricing/details/virtual-machines/</t>
  </si>
  <si>
    <t xml:space="preserve">Not priced for this quote</t>
  </si>
  <si>
    <t xml:space="preserve">https://azure.microsoft.com/pricing/details/kubernetes-service/</t>
  </si>
  <si>
    <t xml:space="preserve">https://azure.microsoft.com/pricing/details/managed-disks/</t>
  </si>
  <si>
    <t xml:space="preserve">https://azure.microsoft.com/pricing/details/storage/blobs/</t>
  </si>
  <si>
    <t xml:space="preserve">https://azure.microsoft.com/pricing/details/bandwidth/</t>
  </si>
  <si>
    <t xml:space="preserve">https://azure.microsoft.com/pricing/details/devops/azure-devops-services/</t>
  </si>
  <si>
    <t xml:space="preserve">https://azure.microsoft.com/pricing/details/azure-sql-database/</t>
  </si>
  <si>
    <t xml:space="preserve">https://azure.microsoft.com/pricing/details/monitor/</t>
  </si>
  <si>
    <t xml:space="preserve">GCP</t>
  </si>
  <si>
    <t xml:space="preserve">GCP Mumbai</t>
  </si>
  <si>
    <t xml:space="preserve">https://cloud.google.com/compute/vm-instance-pricing</t>
  </si>
  <si>
    <t xml:space="preserve">https://cloud.google.com/kubernetes-engine/pricing</t>
  </si>
  <si>
    <t xml:space="preserve">https://cloud.google.com/compute/disks-image-pricing</t>
  </si>
  <si>
    <t xml:space="preserve">https://cloud.google.com/storage/pricing</t>
  </si>
  <si>
    <t xml:space="preserve">https://cloud.google.com/vpc/network-pricing</t>
  </si>
  <si>
    <t xml:space="preserve">https://cloud.google.com/build/pricing</t>
  </si>
  <si>
    <t xml:space="preserve">https://cloud.google.com/sql/pricing</t>
  </si>
  <si>
    <t xml:space="preserve">https://cloud.google.com/stackdriver/pricing</t>
  </si>
  <si>
    <t xml:space="preserve">VM Light</t>
  </si>
  <si>
    <t xml:space="preserve">VM Heavy</t>
  </si>
  <si>
    <t xml:space="preserve">AWS — TOC Mapping</t>
  </si>
  <si>
    <t xml:space="preserve">Training TOC → Infrastructure Mapping</t>
  </si>
  <si>
    <t xml:space="preserve">Day</t>
  </si>
  <si>
    <t xml:space="preserve">Training topic</t>
  </si>
  <si>
    <t xml:space="preserve">VM qty</t>
  </si>
  <si>
    <t xml:space="preserve">VM profile</t>
  </si>
  <si>
    <t xml:space="preserve">K8s control plane</t>
  </si>
  <si>
    <t xml:space="preserve">K8s worker nodes</t>
  </si>
  <si>
    <t xml:space="preserve">Managed DB</t>
  </si>
  <si>
    <t xml:space="preserve">Object storage</t>
  </si>
  <si>
    <t xml:space="preserve">Active days</t>
  </si>
  <si>
    <t xml:space="preserve">DevOps Orientation, SDLC and Agile Delivery</t>
  </si>
  <si>
    <t xml:space="preserve">Heavy</t>
  </si>
  <si>
    <t xml:space="preserve">Linux Fundamentals for DevOps</t>
  </si>
  <si>
    <t xml:space="preserve">Light</t>
  </si>
  <si>
    <t xml:space="preserve">Shell Scripting and Automation</t>
  </si>
  <si>
    <t xml:space="preserve">Networking, SSH and Web Basics</t>
  </si>
  <si>
    <t xml:space="preserve">Git and GitHub Collaboration</t>
  </si>
  <si>
    <t xml:space="preserve">Build Tools and Artifact Management</t>
  </si>
  <si>
    <t xml:space="preserve">Jenkins Fundamentals</t>
  </si>
  <si>
    <t xml:space="preserve">Jenkins Pipeline as Code</t>
  </si>
  <si>
    <t xml:space="preserve">GitHub Actions and GitLab CI</t>
  </si>
  <si>
    <t xml:space="preserve">Docker Fundamentals</t>
  </si>
  <si>
    <t xml:space="preserve">Docker Compose and Multi-Container Apps</t>
  </si>
  <si>
    <t xml:space="preserve">Container Registry and Image Security</t>
  </si>
  <si>
    <t xml:space="preserve">Kubernetes Architecture</t>
  </si>
  <si>
    <t xml:space="preserve">Kubernetes Workloads and Services</t>
  </si>
  <si>
    <t xml:space="preserve">Kubernetes Storage, RBAC and Troubleshooting</t>
  </si>
  <si>
    <t xml:space="preserve">Helm Package Management</t>
  </si>
  <si>
    <t xml:space="preserve">AWS DevOps Foundations</t>
  </si>
  <si>
    <t xml:space="preserve">AWS CI/CD and Container Services</t>
  </si>
  <si>
    <t xml:space="preserve">Azure DevOps Foundations</t>
  </si>
  <si>
    <t xml:space="preserve">Capstone Demo and Certification Roadmap</t>
  </si>
  <si>
    <t xml:space="preserve">Mapping note</t>
  </si>
  <si>
    <t xml:space="preserve"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</si>
  <si>
    <t xml:space="preserve">AWS — Live Price Check</t>
  </si>
  <si>
    <t xml:space="preserve">SKU</t>
  </si>
  <si>
    <t xml:space="preserve">Billing dimension</t>
  </si>
  <si>
    <t xml:space="preserve">Unit</t>
  </si>
  <si>
    <t xml:space="preserve">Source</t>
  </si>
  <si>
    <t xml:space="preserve">Checked at</t>
  </si>
  <si>
    <t xml:space="preserve">Previous USD rate</t>
  </si>
  <si>
    <t xml:space="preserve">Change %</t>
  </si>
  <si>
    <t xml:space="preserve">Review required</t>
  </si>
  <si>
    <t xml:space="preserve">4NK2QE2HS7XC4TZC</t>
  </si>
  <si>
    <t xml:space="preserve">4NK2QE2HS7XC4TZC.JRTCKXETXF.6YS6EN2CT7</t>
  </si>
  <si>
    <t xml:space="preserve">Hrs</t>
  </si>
  <si>
    <t xml:space="preserve">No</t>
  </si>
  <si>
    <t xml:space="preserve">WSEUB4NX5HQYMN3K</t>
  </si>
  <si>
    <t xml:space="preserve">WSEUB4NX5HQYMN3K.JRTCKXETXF.6YS6EN2CT7</t>
  </si>
  <si>
    <t xml:space="preserve">RQJ9MJY8F5PSNNWU</t>
  </si>
  <si>
    <t xml:space="preserve">RQJ9MJY8F5PSNNWU.JRTCKXETXF.6YS6EN2CT7</t>
  </si>
  <si>
    <t xml:space="preserve">Hours</t>
  </si>
  <si>
    <t xml:space="preserve">D7RMW443YWTMZ4V5</t>
  </si>
  <si>
    <t xml:space="preserve">D7RMW443YWTMZ4V5.JRTCKXETXF.6YS6EN2CT7</t>
  </si>
  <si>
    <t xml:space="preserve">GB-Mo</t>
  </si>
  <si>
    <t xml:space="preserve">USGUTP2JY23N9GH2</t>
  </si>
  <si>
    <t xml:space="preserve">USGUTP2JY23N9GH2.JRTCKXETXF.PGHJ3S3EYE</t>
  </si>
  <si>
    <t xml:space="preserve">NOT_BILLED</t>
  </si>
  <si>
    <t xml:space="preserve">not-enabled</t>
  </si>
  <si>
    <t xml:space="preserve">1 GB</t>
  </si>
  <si>
    <t xml:space="preserve">1 Hour</t>
  </si>
  <si>
    <t xml:space="preserve">AZURE — Assumptions</t>
  </si>
  <si>
    <t xml:space="preserve">2026-09-14T08:11:03.199234+00:00</t>
  </si>
  <si>
    <t xml:space="preserve">LCQ-60354BEA83F94EBBA6DB6B7FD66EDDF4</t>
  </si>
  <si>
    <t xml:space="preserve">https://prices.azure.com/api/retail/prices?%24filter=meterId+eq+%27734de0e1-404b-4c78-a340-a5f6498aca77%27+and+armRegionName+eq+%27centralindia%27+and+priceType+eq+%27Consumption%27&amp;currencyCode=USD</t>
  </si>
  <si>
    <t xml:space="preserve">2026-09-21T08:11:03.199234+00:00</t>
  </si>
  <si>
    <t xml:space="preserve">Caller-supplied per-day resource mapping</t>
  </si>
  <si>
    <t xml:space="preserve">AZURE — Rate Card</t>
  </si>
  <si>
    <t xml:space="preserve">https://aws.amazon.com/ec2/pricing/</t>
  </si>
  <si>
    <t xml:space="preserve">https://aws.amazon.com/eks/pricing/</t>
  </si>
  <si>
    <t xml:space="preserve">https://aws.amazon.com/ebs/pricing/</t>
  </si>
  <si>
    <t xml:space="preserve">https://aws.amazon.com/s3/pricing/</t>
  </si>
  <si>
    <t xml:space="preserve">https://aws.amazon.com/ec2/pricing/on-demand/#Data_Transfer</t>
  </si>
  <si>
    <t xml:space="preserve">https://aws.amazon.com/codebuild/pricing/</t>
  </si>
  <si>
    <t xml:space="preserve">https://aws.amazon.com/rds/pricing/</t>
  </si>
  <si>
    <t xml:space="preserve">https://aws.amazon.com/cloudwatch/pricing/</t>
  </si>
  <si>
    <t xml:space="preserve">https://prices.azure.com/api/retail/prices?%24filter=meterId+eq+%27251a08e1-40d6-48e6-8368-4c3e5ee3bbff%27+and+armRegionName+eq+%27centralindia%27+and+priceType+eq+%27Consumption%27&amp;currencyCode=USD</t>
  </si>
  <si>
    <t xml:space="preserve">https://prices.azure.com/api/retail/prices?%24filter=meterId+eq+%272382d92d-4ce9-5330-9bb4-8ec9120e6a64%27+and+armRegionName+eq+%27centralindia%27+and+priceType+eq+%27Consumption%27&amp;currencyCode=USD</t>
  </si>
  <si>
    <t xml:space="preserve">https://prices.azure.com/api/retail/prices?%24filter=meterId+eq+%27ed9e91d2-0f0c-4d55-b3dd-7f69d4708b22%27+and+armRegionName+eq+%27centralindia%27+and+priceType+eq+%27Consumption%27&amp;currencyCode=USD</t>
  </si>
  <si>
    <t xml:space="preserve">https://prices.azure.com/api/retail/prices?%24filter=meterId+eq+%27e7835f46-4557-4a90-b05a-9033deda4811%27+and+armRegionName+eq+%27centralindia%27+and+priceType+eq+%27Consumption%27&amp;currencyCode=USD</t>
  </si>
  <si>
    <t xml:space="preserve">https://azure.microsoft.com/en-us/pricing/</t>
  </si>
  <si>
    <t xml:space="preserve">AZURE — TOC Mapping</t>
  </si>
  <si>
    <t xml:space="preserve">AZURE — Live Price Check</t>
  </si>
  <si>
    <t xml:space="preserve">DZH318Z0BQ35/00PM</t>
  </si>
  <si>
    <t xml:space="preserve">734de0e1-404b-4c78-a340-a5f6498aca77</t>
  </si>
  <si>
    <t xml:space="preserve">DZH318Z08M9W/007H</t>
  </si>
  <si>
    <t xml:space="preserve">2382d92d-4ce9-5330-9bb4-8ec9120e6a64</t>
  </si>
  <si>
    <t xml:space="preserve">DZH318Z0CQSH/0011</t>
  </si>
  <si>
    <t xml:space="preserve">251a08e1-40d6-48e6-8368-4c3e5ee3bbff</t>
  </si>
  <si>
    <t xml:space="preserve">DZH318Z0BP04/003T</t>
  </si>
  <si>
    <t xml:space="preserve">ed9e91d2-0f0c-4d55-b3dd-7f69d4708b22</t>
  </si>
  <si>
    <t xml:space="preserve">1 GB/Month</t>
  </si>
  <si>
    <t xml:space="preserve">DZH318Z0BZ18/0014</t>
  </si>
  <si>
    <t xml:space="preserve">e7835f46-4557-4a90-b05a-9033deda4811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</si>
</sst>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.00;[RED]&quot;(₹&quot;#,##0.00\);\-"/>
    <numFmt numFmtId="166" formatCode="0.0%;[RED]\(0.0%\);\-"/>
    <numFmt numFmtId="167" formatCode="\$0.0000;[RED]&quot;($&quot;0.0000\);\-"/>
    <numFmt numFmtId="168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DejaVu Sans"/>
      <family val="2"/>
      <charset val="1"/>
    </font>
    <font>
      <sz val="1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K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true" zeroHeight="false" outlineLevelRow="1" outlineLevelCol="0"/>
  <cols>
    <col collapsed="false" customWidth="true" hidden="false" outlineLevel="0" max="1" min="1" style="0" width="45"/>
    <col collapsed="false" customWidth="true" hidden="false" outlineLevel="0" max="6" min="2" style="0" width="24"/>
    <col collapsed="false" customWidth="true" hidden="false" outlineLevel="0" max="7" min="7" style="0" width="45"/>
    <col collapsed="false" customWidth="true" hidden="false" outlineLevel="0" max="11" min="8" style="0" width="2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30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30" hidden="false" customHeight="true" outlineLevel="0" collapsed="false"/>
    <row r="7" customFormat="false" ht="30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customFormat="false" ht="30" hidden="false" customHeight="true" outlineLevel="0" collapsed="false">
      <c r="A8" s="5" t="s">
        <v>14</v>
      </c>
      <c r="B8" s="5" t="n">
        <f aca="false">SUMPRODUCT($C$161:$C$180,$I$161:$I$180)</f>
        <v>400</v>
      </c>
      <c r="C8" s="5" t="s">
        <v>15</v>
      </c>
      <c r="D8" s="6" t="n">
        <f aca="false">SUMIFS($F$126:$F$152,$A$126:$A$152,I8,$B$126:$B$152,J8,$C$126:$C$152,A8)</f>
        <v>0</v>
      </c>
      <c r="E8" s="5" t="s">
        <v>16</v>
      </c>
      <c r="F8" s="7" t="n">
        <f aca="false">$B$89</f>
        <v>3</v>
      </c>
      <c r="G8" s="5" t="s">
        <v>17</v>
      </c>
      <c r="H8" s="8" t="n">
        <f aca="false">(SUMPRODUCT($C$161:$C$180,$I$161:$I$180,--($D$161:$D$180="Light"))*$F$153+SUMPRODUCT($C$161:$C$180,$I$161:$I$180,--($D$161:$D$180="Heavy"))*$F$154)*$B$89</f>
        <v>14384.45568</v>
      </c>
      <c r="I8" s="7" t="str">
        <f aca="false">$B$87</f>
        <v>AWS</v>
      </c>
      <c r="J8" s="7" t="str">
        <f aca="false">$B$88</f>
        <v>Mumbai</v>
      </c>
    </row>
    <row r="9" customFormat="false" ht="30" hidden="false" customHeight="true" outlineLevel="0" collapsed="false">
      <c r="A9" s="5" t="s">
        <v>18</v>
      </c>
      <c r="B9" s="5" t="n">
        <f aca="false">SUMPRODUCT($E$161:$E$180,$I$161:$I$180)</f>
        <v>1</v>
      </c>
      <c r="C9" s="5" t="s">
        <v>19</v>
      </c>
      <c r="D9" s="6" t="n">
        <f aca="false">SUMIFS($F$126:$F$152,$A$126:$A$152,I9,$B$126:$B$152,J9,$C$126:$C$152,A9)</f>
        <v>9.556</v>
      </c>
      <c r="E9" s="5" t="s">
        <v>16</v>
      </c>
      <c r="F9" s="7" t="n">
        <f aca="false">$B$89</f>
        <v>3</v>
      </c>
      <c r="G9" s="5" t="s">
        <v>20</v>
      </c>
      <c r="H9" s="8" t="n">
        <f aca="false">B9*D9*F9</f>
        <v>28.668</v>
      </c>
      <c r="I9" s="7" t="str">
        <f aca="false">$B$87</f>
        <v>AWS</v>
      </c>
      <c r="J9" s="7" t="str">
        <f aca="false">$B$88</f>
        <v>Mumbai</v>
      </c>
    </row>
    <row r="10" customFormat="false" ht="30" hidden="false" customHeight="true" outlineLevel="0" collapsed="false">
      <c r="A10" s="5" t="s">
        <v>21</v>
      </c>
      <c r="B10" s="7" t="n">
        <f aca="false">SUMPRODUCT($F$161:$F$180,$I$161:$I$180)</f>
        <v>1</v>
      </c>
      <c r="C10" s="5" t="s">
        <v>22</v>
      </c>
      <c r="D10" s="6" t="n">
        <f aca="false">SUMIFS($F$126:$F$152,$A$126:$A$152,I10,$B$126:$B$152,J10,$C$126:$C$152,A10)</f>
        <v>17.124352</v>
      </c>
      <c r="E10" s="5" t="s">
        <v>16</v>
      </c>
      <c r="F10" s="7" t="n">
        <f aca="false">$B$89</f>
        <v>3</v>
      </c>
      <c r="G10" s="5" t="s">
        <v>20</v>
      </c>
      <c r="H10" s="8" t="n">
        <f aca="false">B10*D10*F10</f>
        <v>51.373056</v>
      </c>
      <c r="I10" s="7" t="str">
        <f aca="false">$B$87</f>
        <v>AWS</v>
      </c>
      <c r="J10" s="7" t="str">
        <f aca="false">$B$88</f>
        <v>Mumbai</v>
      </c>
    </row>
    <row r="11" customFormat="false" ht="30" hidden="false" customHeight="true" outlineLevel="0" collapsed="false">
      <c r="A11" s="5" t="s">
        <v>23</v>
      </c>
      <c r="B11" s="5" t="n">
        <f aca="false">SUMPRODUCT(($C$161:$C$180+$F$161:$F$180),$I$161:$I$180)*$B$102</f>
        <v>8020</v>
      </c>
      <c r="C11" s="5" t="s">
        <v>24</v>
      </c>
      <c r="D11" s="6" t="n">
        <f aca="false">SUMIFS($F$126:$F$152,$A$126:$A$152,I11,$B$126:$B$152,J11,$C$126:$C$152,A11)</f>
        <v>8.715072</v>
      </c>
      <c r="E11" s="5" t="s">
        <v>25</v>
      </c>
      <c r="F11" s="7" t="n">
        <v>1</v>
      </c>
      <c r="G11" s="5" t="s">
        <v>26</v>
      </c>
      <c r="H11" s="8" t="n">
        <f aca="false">B11*D11/30</f>
        <v>2329.829248</v>
      </c>
      <c r="I11" s="7" t="str">
        <f aca="false">$B$87</f>
        <v>AWS</v>
      </c>
      <c r="J11" s="7" t="str">
        <f aca="false">$B$88</f>
        <v>Mumbai</v>
      </c>
    </row>
    <row r="12" customFormat="false" ht="30" hidden="false" customHeight="true" outlineLevel="0" collapsed="false">
      <c r="A12" s="5" t="s">
        <v>27</v>
      </c>
      <c r="B12" s="7" t="n">
        <f aca="false">SUMPRODUCT($H$161:$H$180,$I$161:$I$180)</f>
        <v>10</v>
      </c>
      <c r="C12" s="5" t="s">
        <v>24</v>
      </c>
      <c r="D12" s="6" t="n">
        <f aca="false">SUMIFS($F$126:$F$152,$A$126:$A$152,I12,$B$126:$B$152,J12,$C$126:$C$152,A12)</f>
        <v>2.389</v>
      </c>
      <c r="E12" s="5" t="s">
        <v>25</v>
      </c>
      <c r="F12" s="7" t="n">
        <v>1</v>
      </c>
      <c r="G12" s="5" t="s">
        <v>28</v>
      </c>
      <c r="H12" s="8" t="n">
        <f aca="false">B12*D12/30</f>
        <v>0.796333333333333</v>
      </c>
      <c r="I12" s="7" t="str">
        <f aca="false">$B$87</f>
        <v>AWS</v>
      </c>
      <c r="J12" s="7" t="str">
        <f aca="false">$B$88</f>
        <v>Mumbai</v>
      </c>
    </row>
    <row r="13" customFormat="false" ht="30" hidden="false" customHeight="true" outlineLevel="0" collapsed="false">
      <c r="A13" s="5" t="s">
        <v>29</v>
      </c>
      <c r="B13" s="7" t="n">
        <f aca="false">B93</f>
        <v>0</v>
      </c>
      <c r="C13" s="5" t="s">
        <v>30</v>
      </c>
      <c r="D13" s="6" t="n">
        <f aca="false">SUMIFS($F$126:$F$152,$A$126:$A$152,I13,$B$126:$B$152,J13,$C$126:$C$152,A13)</f>
        <v>0</v>
      </c>
      <c r="E13" s="5" t="s">
        <v>31</v>
      </c>
      <c r="F13" s="5" t="n">
        <v>1</v>
      </c>
      <c r="G13" s="5" t="s">
        <v>32</v>
      </c>
      <c r="H13" s="8" t="n">
        <f aca="false">B13*D13</f>
        <v>0</v>
      </c>
      <c r="I13" s="7" t="str">
        <f aca="false">$B$87</f>
        <v>AWS</v>
      </c>
      <c r="J13" s="7" t="str">
        <f aca="false">$B$88</f>
        <v>Mumbai</v>
      </c>
    </row>
    <row r="14" customFormat="false" ht="30" hidden="false" customHeight="true" outlineLevel="0" collapsed="false">
      <c r="A14" s="5" t="s">
        <v>33</v>
      </c>
      <c r="B14" s="7" t="n">
        <f aca="false">B94</f>
        <v>0</v>
      </c>
      <c r="C14" s="5" t="s">
        <v>34</v>
      </c>
      <c r="D14" s="6" t="n">
        <f aca="false">SUMIFS($F$126:$F$152,$A$126:$A$152,I14,$B$126:$B$152,J14,$C$126:$C$152,A14)</f>
        <v>0</v>
      </c>
      <c r="E14" s="5" t="s">
        <v>31</v>
      </c>
      <c r="F14" s="5" t="n">
        <v>1</v>
      </c>
      <c r="G14" s="5" t="s">
        <v>35</v>
      </c>
      <c r="H14" s="8" t="n">
        <f aca="false">B14*D14</f>
        <v>0</v>
      </c>
      <c r="I14" s="7" t="str">
        <f aca="false">$B$87</f>
        <v>AWS</v>
      </c>
      <c r="J14" s="7" t="str">
        <f aca="false">$B$88</f>
        <v>Mumbai</v>
      </c>
    </row>
    <row r="15" customFormat="false" ht="30" hidden="false" customHeight="true" outlineLevel="0" collapsed="false">
      <c r="A15" s="5" t="s">
        <v>36</v>
      </c>
      <c r="B15" s="5" t="n">
        <f aca="false">SUMPRODUCT($G$161:$G$180,$I$161:$I$180)</f>
        <v>0</v>
      </c>
      <c r="C15" s="5" t="s">
        <v>15</v>
      </c>
      <c r="D15" s="6" t="n">
        <f aca="false">SUMIFS($F$126:$F$152,$A$126:$A$152,I15,$B$126:$B$152,J15,$C$126:$C$152,A15)</f>
        <v>0</v>
      </c>
      <c r="E15" s="5" t="s">
        <v>16</v>
      </c>
      <c r="F15" s="7" t="n">
        <f aca="false">$B$89</f>
        <v>3</v>
      </c>
      <c r="G15" s="5" t="s">
        <v>20</v>
      </c>
      <c r="H15" s="8" t="n">
        <f aca="false">B15*D15*F15</f>
        <v>0</v>
      </c>
      <c r="I15" s="7" t="str">
        <f aca="false">$B$87</f>
        <v>AWS</v>
      </c>
      <c r="J15" s="7" t="str">
        <f aca="false">$B$88</f>
        <v>Mumbai</v>
      </c>
    </row>
    <row r="16" customFormat="false" ht="30" hidden="false" customHeight="true" outlineLevel="0" collapsed="false">
      <c r="A16" s="5" t="s">
        <v>37</v>
      </c>
      <c r="B16" s="7" t="n">
        <f aca="false">B95</f>
        <v>0</v>
      </c>
      <c r="C16" s="5" t="s">
        <v>30</v>
      </c>
      <c r="D16" s="6" t="n">
        <f aca="false">SUMIFS($F$126:$F$152,$A$126:$A$152,I16,$B$126:$B$152,J16,$C$126:$C$152,A16)</f>
        <v>0</v>
      </c>
      <c r="E16" s="5" t="s">
        <v>31</v>
      </c>
      <c r="F16" s="5" t="n">
        <v>1</v>
      </c>
      <c r="G16" s="5" t="s">
        <v>32</v>
      </c>
      <c r="H16" s="8" t="n">
        <f aca="false">B16*D16</f>
        <v>0</v>
      </c>
      <c r="I16" s="7" t="str">
        <f aca="false">$B$87</f>
        <v>AWS</v>
      </c>
      <c r="J16" s="7" t="str">
        <f aca="false">$B$88</f>
        <v>Mumbai</v>
      </c>
    </row>
    <row r="17" customFormat="false" ht="30" hidden="false" customHeight="true" outlineLevel="0" collapsed="false"/>
    <row r="18" customFormat="false" ht="30" hidden="false" customHeight="true" outlineLevel="0" collapsed="false">
      <c r="A18" s="9" t="s">
        <v>38</v>
      </c>
      <c r="B18" s="9"/>
      <c r="C18" s="9"/>
      <c r="D18" s="9"/>
      <c r="E18" s="9"/>
      <c r="F18" s="9"/>
      <c r="G18" s="9"/>
      <c r="H18" s="10" t="n">
        <f aca="false">SUM(H8:H16)</f>
        <v>16795.1223173333</v>
      </c>
    </row>
    <row r="21" customFormat="false" ht="15" hidden="false" customHeight="false" outlineLevel="0" collapsed="false">
      <c r="A21" s="2" t="s">
        <v>39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30" hidden="false" customHeight="true" outlineLevel="0" collapsed="false">
      <c r="A22" s="3" t="s">
        <v>40</v>
      </c>
      <c r="B22" s="3"/>
      <c r="C22" s="3"/>
      <c r="D22" s="3"/>
    </row>
    <row r="23" customFormat="false" ht="30" hidden="false" customHeight="true" outlineLevel="0" collapsed="false"/>
    <row r="24" customFormat="false" ht="30" hidden="false" customHeight="true" outlineLevel="0" collapsed="false">
      <c r="A24" s="9" t="s">
        <v>41</v>
      </c>
      <c r="B24" s="9"/>
      <c r="C24" s="9"/>
      <c r="D24" s="9"/>
    </row>
    <row r="25" customFormat="false" ht="30" hidden="false" customHeight="true" outlineLevel="0" collapsed="false">
      <c r="A25" s="11" t="s">
        <v>42</v>
      </c>
      <c r="B25" s="12" t="str">
        <f aca="false">B86</f>
        <v>DevOps Mastery</v>
      </c>
      <c r="C25" s="12"/>
      <c r="D25" s="12"/>
    </row>
    <row r="26" customFormat="false" ht="30" hidden="false" customHeight="true" outlineLevel="0" collapsed="false">
      <c r="A26" s="11" t="s">
        <v>43</v>
      </c>
      <c r="B26" s="12" t="str">
        <f aca="false">B87&amp;" – "&amp;B88</f>
        <v>AWS – Mumbai</v>
      </c>
      <c r="C26" s="12"/>
      <c r="D26" s="12"/>
    </row>
    <row r="27" customFormat="false" ht="30" hidden="false" customHeight="true" outlineLevel="0" collapsed="false">
      <c r="A27" s="11" t="s">
        <v>44</v>
      </c>
      <c r="B27" s="12" t="n">
        <f aca="false">B91</f>
        <v>20</v>
      </c>
      <c r="C27" s="12"/>
      <c r="D27" s="12"/>
    </row>
    <row r="28" customFormat="false" ht="30" hidden="false" customHeight="true" outlineLevel="0" collapsed="false">
      <c r="A28" s="11" t="s">
        <v>45</v>
      </c>
      <c r="B28" s="12" t="str">
        <f aca="false">B90&amp;" days × "&amp;B89&amp;" hours/day"</f>
        <v>20 days × 3 hours/day</v>
      </c>
      <c r="C28" s="12"/>
      <c r="D28" s="12"/>
    </row>
    <row r="29" customFormat="false" ht="30" hidden="false" customHeight="true" outlineLevel="0" collapsed="false">
      <c r="A29" s="11" t="s">
        <v>46</v>
      </c>
      <c r="B29" s="13" t="n">
        <f aca="false">H18</f>
        <v>16795.1223173333</v>
      </c>
      <c r="C29" s="13"/>
      <c r="D29" s="13"/>
    </row>
    <row r="30" customFormat="false" ht="30" hidden="false" customHeight="true" outlineLevel="0" collapsed="false">
      <c r="A30" s="11" t="s">
        <v>47</v>
      </c>
      <c r="B30" s="13" t="n">
        <f aca="false">B103*B91*B90</f>
        <v>0</v>
      </c>
      <c r="C30" s="13"/>
      <c r="D30" s="13"/>
    </row>
    <row r="31" customFormat="false" ht="30" hidden="false" customHeight="true" outlineLevel="0" collapsed="false">
      <c r="A31" s="11" t="s">
        <v>48</v>
      </c>
      <c r="B31" s="13" t="n">
        <f aca="false">(B29+B30)*B98</f>
        <v>1679.51223173333</v>
      </c>
      <c r="C31" s="13"/>
      <c r="D31" s="13"/>
    </row>
    <row r="32" customFormat="false" ht="30" hidden="false" customHeight="true" outlineLevel="0" collapsed="false">
      <c r="A32" s="11" t="s">
        <v>49</v>
      </c>
      <c r="B32" s="13" t="n">
        <f aca="false">(B29+B30+B31)*B99</f>
        <v>3325.434218832</v>
      </c>
      <c r="C32" s="13"/>
      <c r="D32" s="13"/>
    </row>
    <row r="33" customFormat="false" ht="30" hidden="false" customHeight="true" outlineLevel="0" collapsed="false">
      <c r="A33" s="14" t="s">
        <v>50</v>
      </c>
      <c r="B33" s="15" t="n">
        <f aca="false">B29+B30+B31+B32</f>
        <v>21800.0687678987</v>
      </c>
      <c r="C33" s="15"/>
      <c r="D33" s="15"/>
    </row>
    <row r="34" customFormat="false" ht="30" hidden="false" customHeight="true" outlineLevel="0" collapsed="false">
      <c r="A34" s="14" t="s">
        <v>51</v>
      </c>
      <c r="B34" s="15" t="n">
        <f aca="false">B33/B91</f>
        <v>1090.00343839493</v>
      </c>
      <c r="C34" s="15"/>
      <c r="D34" s="15"/>
    </row>
    <row r="35" customFormat="false" ht="30" hidden="false" customHeight="true" outlineLevel="0" collapsed="false">
      <c r="A35" s="11" t="s">
        <v>52</v>
      </c>
      <c r="B35" s="12" t="str">
        <f aca="false">B101&amp;" days from quote date"</f>
        <v>7 days from quote date</v>
      </c>
      <c r="C35" s="12"/>
      <c r="D35" s="12"/>
    </row>
    <row r="36" customFormat="false" ht="30" hidden="false" customHeight="true" outlineLevel="0" collapsed="false"/>
    <row r="37" customFormat="false" ht="30" hidden="false" customHeight="true" outlineLevel="0" collapsed="false">
      <c r="A37" s="9" t="s">
        <v>53</v>
      </c>
      <c r="B37" s="9"/>
      <c r="C37" s="9"/>
      <c r="D37" s="9"/>
    </row>
    <row r="38" customFormat="false" ht="30" hidden="false" customHeight="true" outlineLevel="0" collapsed="false">
      <c r="A38" s="16" t="s">
        <v>54</v>
      </c>
      <c r="B38" s="16"/>
      <c r="C38" s="16"/>
      <c r="D38" s="16"/>
    </row>
    <row r="39" customFormat="false" ht="30" hidden="false" customHeight="true" outlineLevel="0" collapsed="false">
      <c r="A39" s="16"/>
      <c r="B39" s="16"/>
      <c r="C39" s="16"/>
      <c r="D39" s="16"/>
    </row>
    <row r="40" customFormat="false" ht="30" hidden="false" customHeight="true" outlineLevel="0" collapsed="false">
      <c r="A40" s="16"/>
      <c r="B40" s="16"/>
      <c r="C40" s="16"/>
      <c r="D40" s="16"/>
    </row>
    <row r="43" customFormat="false" ht="15" hidden="false" customHeight="false" outlineLevel="0" collapsed="false">
      <c r="A43" s="2" t="s">
        <v>55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30" hidden="false" customHeight="true" outlineLevel="0" collapsed="false">
      <c r="A44" s="3" t="s">
        <v>3</v>
      </c>
      <c r="B44" s="3"/>
      <c r="C44" s="3"/>
      <c r="D44" s="3"/>
      <c r="E44" s="3"/>
      <c r="F44" s="3"/>
      <c r="G44" s="3"/>
      <c r="H44" s="3"/>
      <c r="I44" s="3"/>
      <c r="J44" s="3"/>
    </row>
    <row r="45" customFormat="false" ht="30" hidden="false" customHeight="true" outlineLevel="0" collapsed="false"/>
    <row r="46" customFormat="false" ht="30" hidden="false" customHeight="true" outlineLevel="0" collapsed="false">
      <c r="A46" s="4" t="s">
        <v>4</v>
      </c>
      <c r="B46" s="4" t="s">
        <v>5</v>
      </c>
      <c r="C46" s="4" t="s">
        <v>6</v>
      </c>
      <c r="D46" s="4" t="s">
        <v>7</v>
      </c>
      <c r="E46" s="4" t="s">
        <v>8</v>
      </c>
      <c r="F46" s="4" t="s">
        <v>9</v>
      </c>
      <c r="G46" s="4" t="s">
        <v>10</v>
      </c>
      <c r="H46" s="4" t="s">
        <v>11</v>
      </c>
      <c r="I46" s="4" t="s">
        <v>12</v>
      </c>
      <c r="J46" s="4" t="s">
        <v>13</v>
      </c>
    </row>
    <row r="47" customFormat="false" ht="30" hidden="false" customHeight="true" outlineLevel="0" collapsed="false">
      <c r="A47" s="5" t="s">
        <v>14</v>
      </c>
      <c r="B47" s="5" t="n">
        <f aca="false">SUMPRODUCT($C$281:$C$300,$I$281:$I$300)</f>
        <v>400</v>
      </c>
      <c r="C47" s="5" t="s">
        <v>15</v>
      </c>
      <c r="D47" s="6" t="n">
        <f aca="false">SUMIFS($F$246:$F$272,$A$246:$A$272,I47,$B$246:$B$272,J47,$C$246:$C$272,A47)</f>
        <v>0</v>
      </c>
      <c r="E47" s="5" t="s">
        <v>16</v>
      </c>
      <c r="F47" s="7" t="n">
        <f aca="false">$B$209</f>
        <v>3</v>
      </c>
      <c r="G47" s="5" t="s">
        <v>17</v>
      </c>
      <c r="H47" s="8" t="n">
        <f aca="false">(SUMPRODUCT($C$281:$C$300,$I$281:$I$300,--($D$281:$D$300="Light"))*$F$273+SUMPRODUCT($C$281:$C$300,$I$281:$I$300,--($D$281:$D$300="Heavy"))*$F$274)*$B$209</f>
        <v>15953.16864</v>
      </c>
      <c r="I47" s="7" t="str">
        <f aca="false">$B$207</f>
        <v>Azure</v>
      </c>
      <c r="J47" s="7" t="str">
        <f aca="false">$B$208</f>
        <v>Central India</v>
      </c>
    </row>
    <row r="48" customFormat="false" ht="30" hidden="false" customHeight="true" outlineLevel="0" collapsed="false">
      <c r="A48" s="5" t="s">
        <v>18</v>
      </c>
      <c r="B48" s="5" t="n">
        <f aca="false">SUMPRODUCT($E$281:$E$300,$I$281:$I$300)</f>
        <v>1</v>
      </c>
      <c r="C48" s="5" t="s">
        <v>19</v>
      </c>
      <c r="D48" s="6" t="n">
        <f aca="false">SUMIFS($F$246:$F$272,$A$246:$A$272,I48,$B$246:$B$272,J48,$C$246:$C$272,A48)</f>
        <v>9.556</v>
      </c>
      <c r="E48" s="5" t="s">
        <v>16</v>
      </c>
      <c r="F48" s="7" t="n">
        <f aca="false">$B$209</f>
        <v>3</v>
      </c>
      <c r="G48" s="5" t="s">
        <v>20</v>
      </c>
      <c r="H48" s="8" t="n">
        <f aca="false">B48*D48*F48</f>
        <v>28.668</v>
      </c>
      <c r="I48" s="7" t="str">
        <f aca="false">$B$207</f>
        <v>Azure</v>
      </c>
      <c r="J48" s="7" t="str">
        <f aca="false">$B$208</f>
        <v>Central India</v>
      </c>
    </row>
    <row r="49" customFormat="false" ht="30" hidden="false" customHeight="true" outlineLevel="0" collapsed="false">
      <c r="A49" s="5" t="s">
        <v>21</v>
      </c>
      <c r="B49" s="7" t="n">
        <f aca="false">SUMPRODUCT($F$281:$F$300,$I$281:$I$300)</f>
        <v>1</v>
      </c>
      <c r="C49" s="5" t="s">
        <v>22</v>
      </c>
      <c r="D49" s="6" t="n">
        <f aca="false">SUMIFS($F$246:$F$272,$A$246:$A$272,I49,$B$246:$B$272,J49,$C$246:$C$272,A49)</f>
        <v>19.30312</v>
      </c>
      <c r="E49" s="5" t="s">
        <v>16</v>
      </c>
      <c r="F49" s="7" t="n">
        <f aca="false">$B$209</f>
        <v>3</v>
      </c>
      <c r="G49" s="5" t="s">
        <v>20</v>
      </c>
      <c r="H49" s="8" t="n">
        <f aca="false">B49*D49*F49</f>
        <v>57.90936</v>
      </c>
      <c r="I49" s="7" t="str">
        <f aca="false">$B$207</f>
        <v>Azure</v>
      </c>
      <c r="J49" s="7" t="str">
        <f aca="false">$B$208</f>
        <v>Central India</v>
      </c>
    </row>
    <row r="50" customFormat="false" ht="30" hidden="false" customHeight="true" outlineLevel="0" collapsed="false">
      <c r="A50" s="5" t="s">
        <v>23</v>
      </c>
      <c r="B50" s="5" t="n">
        <f aca="false">SUMPRODUCT(($C$281:$C$300+$F$281:$F$300),$I$281:$I$300)*$B$222</f>
        <v>12832</v>
      </c>
      <c r="C50" s="5" t="s">
        <v>24</v>
      </c>
      <c r="D50" s="6" t="n">
        <f aca="false">SUMIFS($F$246:$F$272,$A$246:$A$272,I50,$B$246:$B$272,J50,$C$246:$C$272,A50)</f>
        <v>15.765906875</v>
      </c>
      <c r="E50" s="5" t="s">
        <v>25</v>
      </c>
      <c r="F50" s="7" t="n">
        <v>1</v>
      </c>
      <c r="G50" s="5" t="s">
        <v>26</v>
      </c>
      <c r="H50" s="8" t="n">
        <f aca="false">B50*D50/30</f>
        <v>6743.60390066667</v>
      </c>
      <c r="I50" s="7" t="str">
        <f aca="false">$B$207</f>
        <v>Azure</v>
      </c>
      <c r="J50" s="7" t="str">
        <f aca="false">$B$208</f>
        <v>Central India</v>
      </c>
    </row>
    <row r="51" customFormat="false" ht="30" hidden="false" customHeight="true" outlineLevel="0" collapsed="false">
      <c r="A51" s="5" t="s">
        <v>27</v>
      </c>
      <c r="B51" s="7" t="n">
        <f aca="false">SUMPRODUCT($H$281:$H$300,$I$281:$I$300)</f>
        <v>10</v>
      </c>
      <c r="C51" s="5" t="s">
        <v>24</v>
      </c>
      <c r="D51" s="6" t="n">
        <f aca="false">SUMIFS($F$246:$F$272,$A$246:$A$272,I51,$B$246:$B$272,J51,$C$246:$C$272,A51)</f>
        <v>20.0676</v>
      </c>
      <c r="E51" s="5" t="s">
        <v>25</v>
      </c>
      <c r="F51" s="7" t="n">
        <v>1</v>
      </c>
      <c r="G51" s="5" t="s">
        <v>28</v>
      </c>
      <c r="H51" s="8" t="n">
        <f aca="false">B51*D51/30</f>
        <v>6.6892</v>
      </c>
      <c r="I51" s="7" t="str">
        <f aca="false">$B$207</f>
        <v>Azure</v>
      </c>
      <c r="J51" s="7" t="str">
        <f aca="false">$B$208</f>
        <v>Central India</v>
      </c>
    </row>
    <row r="52" customFormat="false" ht="30" hidden="false" customHeight="true" outlineLevel="0" collapsed="false">
      <c r="A52" s="5" t="s">
        <v>29</v>
      </c>
      <c r="B52" s="7" t="n">
        <f aca="false">B213</f>
        <v>0</v>
      </c>
      <c r="C52" s="5" t="s">
        <v>30</v>
      </c>
      <c r="D52" s="6" t="n">
        <f aca="false">SUMIFS($F$246:$F$272,$A$246:$A$272,I52,$B$246:$B$272,J52,$C$246:$C$272,A52)</f>
        <v>0</v>
      </c>
      <c r="E52" s="5" t="s">
        <v>31</v>
      </c>
      <c r="F52" s="5" t="n">
        <v>1</v>
      </c>
      <c r="G52" s="5" t="s">
        <v>32</v>
      </c>
      <c r="H52" s="8" t="n">
        <f aca="false">B52*D52</f>
        <v>0</v>
      </c>
      <c r="I52" s="7" t="str">
        <f aca="false">$B$207</f>
        <v>Azure</v>
      </c>
      <c r="J52" s="7" t="str">
        <f aca="false">$B$208</f>
        <v>Central India</v>
      </c>
    </row>
    <row r="53" customFormat="false" ht="30" hidden="false" customHeight="true" outlineLevel="0" collapsed="false">
      <c r="A53" s="5" t="s">
        <v>33</v>
      </c>
      <c r="B53" s="7" t="n">
        <f aca="false">B214</f>
        <v>0</v>
      </c>
      <c r="C53" s="5" t="s">
        <v>34</v>
      </c>
      <c r="D53" s="6" t="n">
        <f aca="false">SUMIFS($F$246:$F$272,$A$246:$A$272,I53,$B$246:$B$272,J53,$C$246:$C$272,A53)</f>
        <v>0</v>
      </c>
      <c r="E53" s="5" t="s">
        <v>31</v>
      </c>
      <c r="F53" s="5" t="n">
        <v>1</v>
      </c>
      <c r="G53" s="5" t="s">
        <v>35</v>
      </c>
      <c r="H53" s="8" t="n">
        <f aca="false">B53*D53</f>
        <v>0</v>
      </c>
      <c r="I53" s="7" t="str">
        <f aca="false">$B$207</f>
        <v>Azure</v>
      </c>
      <c r="J53" s="7" t="str">
        <f aca="false">$B$208</f>
        <v>Central India</v>
      </c>
    </row>
    <row r="54" customFormat="false" ht="30" hidden="false" customHeight="true" outlineLevel="0" collapsed="false">
      <c r="A54" s="5" t="s">
        <v>36</v>
      </c>
      <c r="B54" s="5" t="n">
        <f aca="false">SUMPRODUCT($G$281:$G$300,$I$281:$I$300)</f>
        <v>0</v>
      </c>
      <c r="C54" s="5" t="s">
        <v>15</v>
      </c>
      <c r="D54" s="6" t="n">
        <f aca="false">SUMIFS($F$246:$F$272,$A$246:$A$272,I54,$B$246:$B$272,J54,$C$246:$C$272,A54)</f>
        <v>0</v>
      </c>
      <c r="E54" s="5" t="s">
        <v>16</v>
      </c>
      <c r="F54" s="7" t="n">
        <f aca="false">$B$209</f>
        <v>3</v>
      </c>
      <c r="G54" s="5" t="s">
        <v>20</v>
      </c>
      <c r="H54" s="8" t="n">
        <f aca="false">B54*D54*F54</f>
        <v>0</v>
      </c>
      <c r="I54" s="7" t="str">
        <f aca="false">$B$207</f>
        <v>Azure</v>
      </c>
      <c r="J54" s="7" t="str">
        <f aca="false">$B$208</f>
        <v>Central India</v>
      </c>
    </row>
    <row r="55" customFormat="false" ht="30" hidden="false" customHeight="true" outlineLevel="0" collapsed="false">
      <c r="A55" s="5" t="s">
        <v>37</v>
      </c>
      <c r="B55" s="7" t="n">
        <f aca="false">B215</f>
        <v>0</v>
      </c>
      <c r="C55" s="5" t="s">
        <v>30</v>
      </c>
      <c r="D55" s="6" t="n">
        <f aca="false">SUMIFS($F$246:$F$272,$A$246:$A$272,I55,$B$246:$B$272,J55,$C$246:$C$272,A55)</f>
        <v>0</v>
      </c>
      <c r="E55" s="5" t="s">
        <v>31</v>
      </c>
      <c r="F55" s="5" t="n">
        <v>1</v>
      </c>
      <c r="G55" s="5" t="s">
        <v>32</v>
      </c>
      <c r="H55" s="8" t="n">
        <f aca="false">B55*D55</f>
        <v>0</v>
      </c>
      <c r="I55" s="7" t="str">
        <f aca="false">$B$207</f>
        <v>Azure</v>
      </c>
      <c r="J55" s="7" t="str">
        <f aca="false">$B$208</f>
        <v>Central India</v>
      </c>
    </row>
    <row r="56" customFormat="false" ht="30" hidden="false" customHeight="true" outlineLevel="0" collapsed="false"/>
    <row r="57" customFormat="false" ht="30" hidden="false" customHeight="true" outlineLevel="0" collapsed="false">
      <c r="A57" s="9" t="s">
        <v>38</v>
      </c>
      <c r="B57" s="9"/>
      <c r="C57" s="9"/>
      <c r="D57" s="9"/>
      <c r="E57" s="9"/>
      <c r="F57" s="9"/>
      <c r="G57" s="9"/>
      <c r="H57" s="10" t="n">
        <f aca="false">SUM(H47:H55)</f>
        <v>22790.0391006667</v>
      </c>
    </row>
    <row r="60" customFormat="false" ht="15" hidden="false" customHeight="false" outlineLevel="0" collapsed="false">
      <c r="A60" s="2" t="s">
        <v>56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30" hidden="false" customHeight="true" outlineLevel="0" collapsed="false">
      <c r="A61" s="3" t="s">
        <v>40</v>
      </c>
      <c r="B61" s="3"/>
      <c r="C61" s="3"/>
      <c r="D61" s="3"/>
    </row>
    <row r="62" customFormat="false" ht="30" hidden="false" customHeight="true" outlineLevel="0" collapsed="false"/>
    <row r="63" customFormat="false" ht="30" hidden="false" customHeight="true" outlineLevel="0" collapsed="false">
      <c r="A63" s="9" t="s">
        <v>41</v>
      </c>
      <c r="B63" s="9"/>
      <c r="C63" s="9"/>
      <c r="D63" s="9"/>
    </row>
    <row r="64" customFormat="false" ht="30" hidden="false" customHeight="true" outlineLevel="0" collapsed="false">
      <c r="A64" s="11" t="s">
        <v>42</v>
      </c>
      <c r="B64" s="12" t="str">
        <f aca="false">B206</f>
        <v>DevOps Mastery</v>
      </c>
      <c r="C64" s="12"/>
      <c r="D64" s="12"/>
    </row>
    <row r="65" customFormat="false" ht="30" hidden="false" customHeight="true" outlineLevel="0" collapsed="false">
      <c r="A65" s="11" t="s">
        <v>43</v>
      </c>
      <c r="B65" s="12" t="str">
        <f aca="false">B207&amp;" – "&amp;B208</f>
        <v>Azure – Central India</v>
      </c>
      <c r="C65" s="12"/>
      <c r="D65" s="12"/>
    </row>
    <row r="66" customFormat="false" ht="30" hidden="false" customHeight="true" outlineLevel="0" collapsed="false">
      <c r="A66" s="11" t="s">
        <v>44</v>
      </c>
      <c r="B66" s="12" t="n">
        <f aca="false">B211</f>
        <v>20</v>
      </c>
      <c r="C66" s="12"/>
      <c r="D66" s="12"/>
    </row>
    <row r="67" customFormat="false" ht="30" hidden="false" customHeight="true" outlineLevel="0" collapsed="false">
      <c r="A67" s="11" t="s">
        <v>45</v>
      </c>
      <c r="B67" s="12" t="str">
        <f aca="false">B210&amp;" days × "&amp;B209&amp;" hours/day"</f>
        <v>20 days × 3 hours/day</v>
      </c>
      <c r="C67" s="12"/>
      <c r="D67" s="12"/>
    </row>
    <row r="68" customFormat="false" ht="30" hidden="false" customHeight="true" outlineLevel="0" collapsed="false">
      <c r="A68" s="11" t="s">
        <v>46</v>
      </c>
      <c r="B68" s="13" t="n">
        <f aca="false">H57</f>
        <v>22790.0391006667</v>
      </c>
      <c r="C68" s="13"/>
      <c r="D68" s="13"/>
    </row>
    <row r="69" customFormat="false" ht="30" hidden="false" customHeight="true" outlineLevel="0" collapsed="false">
      <c r="A69" s="11" t="s">
        <v>47</v>
      </c>
      <c r="B69" s="13" t="n">
        <f aca="false">B223*B211*B210</f>
        <v>0</v>
      </c>
      <c r="C69" s="13"/>
      <c r="D69" s="13"/>
    </row>
    <row r="70" customFormat="false" ht="30" hidden="false" customHeight="true" outlineLevel="0" collapsed="false">
      <c r="A70" s="11" t="s">
        <v>48</v>
      </c>
      <c r="B70" s="13" t="n">
        <f aca="false">(B68+B69)*B218</f>
        <v>2279.00391006667</v>
      </c>
      <c r="C70" s="13"/>
      <c r="D70" s="13"/>
    </row>
    <row r="71" customFormat="false" ht="30" hidden="false" customHeight="true" outlineLevel="0" collapsed="false">
      <c r="A71" s="11" t="s">
        <v>49</v>
      </c>
      <c r="B71" s="13" t="n">
        <f aca="false">(B68+B69+B70)*B219</f>
        <v>0</v>
      </c>
      <c r="C71" s="13"/>
      <c r="D71" s="13"/>
    </row>
    <row r="72" customFormat="false" ht="30" hidden="false" customHeight="true" outlineLevel="0" collapsed="false">
      <c r="A72" s="14" t="s">
        <v>50</v>
      </c>
      <c r="B72" s="15" t="n">
        <f aca="false">B68+B69+B70+B71</f>
        <v>25069.0430107333</v>
      </c>
      <c r="C72" s="15"/>
      <c r="D72" s="15"/>
    </row>
    <row r="73" customFormat="false" ht="30" hidden="false" customHeight="true" outlineLevel="0" collapsed="false">
      <c r="A73" s="14" t="s">
        <v>51</v>
      </c>
      <c r="B73" s="15" t="n">
        <f aca="false">B72/B211</f>
        <v>1253.45215053667</v>
      </c>
      <c r="C73" s="15"/>
      <c r="D73" s="15"/>
    </row>
    <row r="74" customFormat="false" ht="30" hidden="false" customHeight="true" outlineLevel="0" collapsed="false">
      <c r="A74" s="11" t="s">
        <v>52</v>
      </c>
      <c r="B74" s="12" t="str">
        <f aca="false">B221&amp;" days from quote date"</f>
        <v>7 days from quote date</v>
      </c>
      <c r="C74" s="12"/>
      <c r="D74" s="12"/>
    </row>
    <row r="75" customFormat="false" ht="30" hidden="false" customHeight="true" outlineLevel="0" collapsed="false"/>
    <row r="76" customFormat="false" ht="30" hidden="false" customHeight="true" outlineLevel="0" collapsed="false">
      <c r="A76" s="9" t="s">
        <v>53</v>
      </c>
      <c r="B76" s="9"/>
      <c r="C76" s="9"/>
      <c r="D76" s="9"/>
    </row>
    <row r="77" customFormat="false" ht="30" hidden="false" customHeight="true" outlineLevel="0" collapsed="false">
      <c r="A77" s="16" t="s">
        <v>57</v>
      </c>
      <c r="B77" s="16"/>
      <c r="C77" s="16"/>
      <c r="D77" s="16"/>
    </row>
    <row r="78" customFormat="false" ht="30" hidden="false" customHeight="true" outlineLevel="0" collapsed="false">
      <c r="A78" s="16"/>
      <c r="B78" s="16"/>
      <c r="C78" s="16"/>
      <c r="D78" s="16"/>
    </row>
    <row r="79" customFormat="false" ht="30" hidden="false" customHeight="true" outlineLevel="0" collapsed="false">
      <c r="A79" s="16"/>
      <c r="B79" s="16"/>
      <c r="C79" s="16"/>
      <c r="D79" s="16"/>
    </row>
    <row r="82" customFormat="false" ht="15" hidden="false" customHeight="false" outlineLevel="0" collapsed="false">
      <c r="A82" s="2" t="s">
        <v>58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30" hidden="true" customHeight="true" outlineLevel="1" collapsed="false">
      <c r="A83" s="3" t="s">
        <v>59</v>
      </c>
      <c r="B83" s="3"/>
      <c r="C83" s="3"/>
      <c r="D83" s="3"/>
    </row>
    <row r="84" customFormat="false" ht="30" hidden="true" customHeight="true" outlineLevel="1" collapsed="false"/>
    <row r="85" customFormat="false" ht="30" hidden="true" customHeight="true" outlineLevel="1" collapsed="false">
      <c r="A85" s="4" t="s">
        <v>60</v>
      </c>
      <c r="B85" s="4" t="s">
        <v>61</v>
      </c>
      <c r="C85" s="4" t="s">
        <v>62</v>
      </c>
      <c r="D85" s="4" t="s">
        <v>63</v>
      </c>
    </row>
    <row r="86" customFormat="false" ht="30" hidden="true" customHeight="true" outlineLevel="1" collapsed="false">
      <c r="A86" s="11" t="s">
        <v>42</v>
      </c>
      <c r="B86" s="17" t="s">
        <v>64</v>
      </c>
      <c r="C86" s="5" t="s">
        <v>65</v>
      </c>
      <c r="D86" s="5" t="s">
        <v>66</v>
      </c>
    </row>
    <row r="87" customFormat="false" ht="30" hidden="true" customHeight="true" outlineLevel="1" collapsed="false">
      <c r="A87" s="11" t="s">
        <v>67</v>
      </c>
      <c r="B87" s="17" t="s">
        <v>68</v>
      </c>
      <c r="C87" s="5" t="s">
        <v>69</v>
      </c>
      <c r="D87" s="5" t="s">
        <v>70</v>
      </c>
    </row>
    <row r="88" customFormat="false" ht="30" hidden="true" customHeight="true" outlineLevel="1" collapsed="false">
      <c r="A88" s="11" t="s">
        <v>13</v>
      </c>
      <c r="B88" s="17" t="s">
        <v>71</v>
      </c>
      <c r="C88" s="5" t="s">
        <v>72</v>
      </c>
      <c r="D88" s="5" t="s">
        <v>73</v>
      </c>
    </row>
    <row r="89" customFormat="false" ht="30" hidden="true" customHeight="true" outlineLevel="1" collapsed="false">
      <c r="A89" s="11" t="s">
        <v>74</v>
      </c>
      <c r="B89" s="17" t="n">
        <v>3</v>
      </c>
      <c r="C89" s="5" t="s">
        <v>75</v>
      </c>
      <c r="D89" s="5" t="s">
        <v>76</v>
      </c>
    </row>
    <row r="90" customFormat="false" ht="30" hidden="true" customHeight="true" outlineLevel="1" collapsed="false">
      <c r="A90" s="11" t="s">
        <v>77</v>
      </c>
      <c r="B90" s="17" t="n">
        <v>20</v>
      </c>
      <c r="C90" s="5" t="s">
        <v>78</v>
      </c>
      <c r="D90" s="5" t="s">
        <v>79</v>
      </c>
    </row>
    <row r="91" customFormat="false" ht="30" hidden="true" customHeight="true" outlineLevel="1" collapsed="false">
      <c r="A91" s="11" t="s">
        <v>80</v>
      </c>
      <c r="B91" s="17" t="n">
        <v>20</v>
      </c>
      <c r="C91" s="5" t="s">
        <v>81</v>
      </c>
      <c r="D91" s="5" t="s">
        <v>82</v>
      </c>
    </row>
    <row r="92" customFormat="false" ht="30" hidden="true" customHeight="true" outlineLevel="1" collapsed="false">
      <c r="A92" s="11" t="s">
        <v>83</v>
      </c>
      <c r="B92" s="17" t="n">
        <v>10</v>
      </c>
      <c r="C92" s="5" t="s">
        <v>84</v>
      </c>
      <c r="D92" s="5" t="s">
        <v>85</v>
      </c>
    </row>
    <row r="93" customFormat="false" ht="30" hidden="true" customHeight="true" outlineLevel="1" collapsed="false">
      <c r="A93" s="11" t="s">
        <v>86</v>
      </c>
      <c r="B93" s="17" t="n">
        <v>0</v>
      </c>
      <c r="C93" s="5" t="s">
        <v>84</v>
      </c>
      <c r="D93" s="5" t="s">
        <v>87</v>
      </c>
    </row>
    <row r="94" customFormat="false" ht="30" hidden="true" customHeight="true" outlineLevel="1" collapsed="false">
      <c r="A94" s="11" t="s">
        <v>88</v>
      </c>
      <c r="B94" s="17" t="n">
        <v>0</v>
      </c>
      <c r="C94" s="5" t="s">
        <v>89</v>
      </c>
      <c r="D94" s="5" t="s">
        <v>90</v>
      </c>
    </row>
    <row r="95" customFormat="false" ht="30" hidden="true" customHeight="true" outlineLevel="1" collapsed="false">
      <c r="A95" s="11" t="s">
        <v>91</v>
      </c>
      <c r="B95" s="17" t="n">
        <v>0</v>
      </c>
      <c r="C95" s="5" t="s">
        <v>84</v>
      </c>
      <c r="D95" s="5" t="s">
        <v>92</v>
      </c>
    </row>
    <row r="96" customFormat="false" ht="30" hidden="true" customHeight="true" outlineLevel="1" collapsed="false">
      <c r="A96" s="11" t="s">
        <v>93</v>
      </c>
      <c r="B96" s="17" t="n">
        <v>1</v>
      </c>
      <c r="C96" s="5" t="s">
        <v>94</v>
      </c>
      <c r="D96" s="5" t="s">
        <v>95</v>
      </c>
    </row>
    <row r="97" customFormat="false" ht="30" hidden="true" customHeight="true" outlineLevel="1" collapsed="false">
      <c r="A97" s="11" t="s">
        <v>96</v>
      </c>
      <c r="B97" s="17" t="n">
        <v>95.56</v>
      </c>
      <c r="C97" s="5" t="s">
        <v>97</v>
      </c>
      <c r="D97" s="5" t="s">
        <v>98</v>
      </c>
    </row>
    <row r="98" customFormat="false" ht="30" hidden="true" customHeight="true" outlineLevel="1" collapsed="false">
      <c r="A98" s="11" t="s">
        <v>99</v>
      </c>
      <c r="B98" s="18" t="n">
        <v>0.1</v>
      </c>
      <c r="C98" s="5" t="s">
        <v>100</v>
      </c>
      <c r="D98" s="5" t="s">
        <v>101</v>
      </c>
    </row>
    <row r="99" customFormat="false" ht="30" hidden="true" customHeight="true" outlineLevel="1" collapsed="false">
      <c r="A99" s="11" t="s">
        <v>102</v>
      </c>
      <c r="B99" s="18" t="n">
        <v>0.18</v>
      </c>
      <c r="C99" s="5" t="s">
        <v>100</v>
      </c>
      <c r="D99" s="5" t="s">
        <v>103</v>
      </c>
    </row>
    <row r="100" customFormat="false" ht="30" hidden="true" customHeight="true" outlineLevel="1" collapsed="false">
      <c r="A100" s="11" t="s">
        <v>104</v>
      </c>
      <c r="B100" s="17" t="s">
        <v>105</v>
      </c>
      <c r="C100" s="5" t="s">
        <v>106</v>
      </c>
      <c r="D100" s="5" t="s">
        <v>107</v>
      </c>
    </row>
    <row r="101" customFormat="false" ht="30" hidden="true" customHeight="true" outlineLevel="1" collapsed="false">
      <c r="A101" s="11" t="s">
        <v>52</v>
      </c>
      <c r="B101" s="17" t="n">
        <v>7</v>
      </c>
      <c r="C101" s="5" t="s">
        <v>78</v>
      </c>
      <c r="D101" s="5" t="s">
        <v>108</v>
      </c>
    </row>
    <row r="102" customFormat="false" ht="30" hidden="true" customHeight="true" outlineLevel="1" collapsed="false">
      <c r="A102" s="11" t="s">
        <v>109</v>
      </c>
      <c r="B102" s="17" t="n">
        <v>20</v>
      </c>
      <c r="C102" s="5" t="s">
        <v>84</v>
      </c>
      <c r="D102" s="5" t="s">
        <v>110</v>
      </c>
    </row>
    <row r="103" customFormat="false" ht="41.25" hidden="true" customHeight="true" outlineLevel="1" collapsed="false">
      <c r="A103" s="11" t="s">
        <v>111</v>
      </c>
      <c r="B103" s="17" t="n">
        <f aca="false">IF(B105="Basic",B106,IF(B105="Standard",B107,B108))</f>
        <v>0</v>
      </c>
      <c r="C103" s="5" t="s">
        <v>112</v>
      </c>
      <c r="D103" s="5" t="s">
        <v>113</v>
      </c>
    </row>
    <row r="104" customFormat="false" ht="41.25" hidden="true" customHeight="true" outlineLevel="1" collapsed="false">
      <c r="A104" s="11" t="s">
        <v>114</v>
      </c>
      <c r="B104" s="17" t="n">
        <v>400</v>
      </c>
      <c r="C104" s="5" t="s">
        <v>115</v>
      </c>
      <c r="D104" s="5" t="s">
        <v>116</v>
      </c>
    </row>
    <row r="105" customFormat="false" ht="30" hidden="true" customHeight="true" outlineLevel="1" collapsed="false">
      <c r="A105" s="11" t="s">
        <v>117</v>
      </c>
      <c r="B105" s="17" t="str">
        <f aca="false">IF(AND(B100="Standard",B91*B90&gt;=B104),"Advanced",B100)</f>
        <v>Advanced</v>
      </c>
      <c r="C105" s="5" t="s">
        <v>118</v>
      </c>
      <c r="D105" s="5" t="s">
        <v>119</v>
      </c>
    </row>
    <row r="106" customFormat="false" ht="30" hidden="true" customHeight="true" outlineLevel="1" collapsed="false">
      <c r="A106" s="11" t="s">
        <v>120</v>
      </c>
      <c r="B106" s="17" t="n">
        <v>0</v>
      </c>
      <c r="C106" s="5" t="s">
        <v>112</v>
      </c>
      <c r="D106" s="5" t="s">
        <v>121</v>
      </c>
    </row>
    <row r="107" customFormat="false" ht="30" hidden="true" customHeight="true" outlineLevel="1" collapsed="false">
      <c r="A107" s="11" t="s">
        <v>122</v>
      </c>
      <c r="B107" s="17" t="n">
        <v>0</v>
      </c>
      <c r="C107" s="5" t="s">
        <v>112</v>
      </c>
      <c r="D107" s="5" t="s">
        <v>121</v>
      </c>
    </row>
    <row r="108" customFormat="false" ht="30" hidden="true" customHeight="true" outlineLevel="1" collapsed="false">
      <c r="A108" s="11" t="s">
        <v>123</v>
      </c>
      <c r="B108" s="17" t="n">
        <v>0</v>
      </c>
      <c r="C108" s="5" t="s">
        <v>112</v>
      </c>
      <c r="D108" s="5" t="s">
        <v>121</v>
      </c>
    </row>
    <row r="109" customFormat="false" ht="54.75" hidden="true" customHeight="true" outlineLevel="1" collapsed="false">
      <c r="A109" s="11" t="s">
        <v>124</v>
      </c>
      <c r="B109" s="17" t="s">
        <v>125</v>
      </c>
      <c r="C109" s="5" t="s">
        <v>126</v>
      </c>
      <c r="D109" s="5" t="s">
        <v>127</v>
      </c>
    </row>
    <row r="110" customFormat="false" ht="41.25" hidden="true" customHeight="true" outlineLevel="1" collapsed="false">
      <c r="A110" s="11" t="s">
        <v>128</v>
      </c>
      <c r="B110" s="17" t="s">
        <v>129</v>
      </c>
      <c r="C110" s="5" t="s">
        <v>130</v>
      </c>
      <c r="D110" s="5" t="s">
        <v>131</v>
      </c>
    </row>
    <row r="111" customFormat="false" ht="30" hidden="true" customHeight="true" outlineLevel="1" collapsed="false">
      <c r="A111" s="11" t="s">
        <v>132</v>
      </c>
      <c r="B111" s="17" t="s">
        <v>133</v>
      </c>
      <c r="C111" s="5" t="s">
        <v>134</v>
      </c>
      <c r="D111" s="5" t="s">
        <v>135</v>
      </c>
    </row>
    <row r="112" customFormat="false" ht="68.25" hidden="true" customHeight="true" outlineLevel="1" collapsed="false">
      <c r="A112" s="11" t="s">
        <v>136</v>
      </c>
      <c r="B112" s="17" t="s">
        <v>137</v>
      </c>
      <c r="C112" s="5" t="s">
        <v>138</v>
      </c>
      <c r="D112" s="5" t="s">
        <v>139</v>
      </c>
    </row>
    <row r="113" customFormat="false" ht="41.25" hidden="true" customHeight="true" outlineLevel="1" collapsed="false">
      <c r="A113" s="11" t="s">
        <v>140</v>
      </c>
      <c r="B113" s="17" t="s">
        <v>126</v>
      </c>
      <c r="C113" s="5" t="s">
        <v>141</v>
      </c>
      <c r="D113" s="5" t="s">
        <v>142</v>
      </c>
    </row>
    <row r="114" customFormat="false" ht="41.25" hidden="true" customHeight="true" outlineLevel="1" collapsed="false">
      <c r="A114" s="11" t="s">
        <v>143</v>
      </c>
      <c r="B114" s="17" t="s">
        <v>144</v>
      </c>
      <c r="C114" s="5" t="s">
        <v>141</v>
      </c>
      <c r="D114" s="5" t="s">
        <v>145</v>
      </c>
    </row>
    <row r="115" customFormat="false" ht="30" hidden="true" customHeight="true" outlineLevel="1" collapsed="false">
      <c r="A115" s="11" t="s">
        <v>146</v>
      </c>
      <c r="B115" s="17" t="n">
        <v>5</v>
      </c>
      <c r="C115" s="5" t="s">
        <v>100</v>
      </c>
      <c r="D115" s="5" t="s">
        <v>147</v>
      </c>
    </row>
    <row r="116" customFormat="false" ht="149.25" hidden="true" customHeight="true" outlineLevel="1" collapsed="false">
      <c r="A116" s="11" t="s">
        <v>148</v>
      </c>
      <c r="B116" s="17" t="s">
        <v>149</v>
      </c>
      <c r="C116" s="5" t="s">
        <v>150</v>
      </c>
      <c r="D116" s="5" t="s">
        <v>151</v>
      </c>
    </row>
    <row r="117" customFormat="false" ht="30" hidden="true" customHeight="true" outlineLevel="1" collapsed="false">
      <c r="A117" s="11" t="s">
        <v>152</v>
      </c>
      <c r="B117" s="17" t="s">
        <v>153</v>
      </c>
      <c r="C117" s="5" t="s">
        <v>134</v>
      </c>
      <c r="D117" s="5" t="s">
        <v>154</v>
      </c>
    </row>
    <row r="118" customFormat="false" ht="41.25" hidden="true" customHeight="true" outlineLevel="1" collapsed="false">
      <c r="A118" s="11" t="s">
        <v>155</v>
      </c>
      <c r="B118" s="17" t="s">
        <v>156</v>
      </c>
      <c r="C118" s="5" t="s">
        <v>134</v>
      </c>
      <c r="D118" s="5" t="s">
        <v>157</v>
      </c>
    </row>
    <row r="119" customFormat="false" ht="54.75" hidden="true" customHeight="true" outlineLevel="1" collapsed="false">
      <c r="A119" s="11" t="s">
        <v>158</v>
      </c>
      <c r="B119" s="17" t="s">
        <v>159</v>
      </c>
      <c r="C119" s="5" t="s">
        <v>134</v>
      </c>
      <c r="D119" s="5" t="s">
        <v>160</v>
      </c>
    </row>
    <row r="122" customFormat="false" ht="15" hidden="false" customHeight="false" outlineLevel="0" collapsed="false">
      <c r="A122" s="2" t="s">
        <v>161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customFormat="false" ht="30" hidden="true" customHeight="true" outlineLevel="1" collapsed="false">
      <c r="A123" s="3" t="s">
        <v>162</v>
      </c>
      <c r="B123" s="3"/>
      <c r="C123" s="3"/>
      <c r="D123" s="3"/>
      <c r="E123" s="3"/>
      <c r="F123" s="3"/>
      <c r="G123" s="3"/>
      <c r="H123" s="3"/>
    </row>
    <row r="124" customFormat="false" ht="30" hidden="true" customHeight="true" outlineLevel="1" collapsed="false"/>
    <row r="125" customFormat="false" ht="30" hidden="true" customHeight="true" outlineLevel="1" collapsed="false">
      <c r="A125" s="4" t="s">
        <v>12</v>
      </c>
      <c r="B125" s="4" t="s">
        <v>13</v>
      </c>
      <c r="C125" s="4" t="s">
        <v>4</v>
      </c>
      <c r="D125" s="4" t="s">
        <v>6</v>
      </c>
      <c r="E125" s="4" t="s">
        <v>163</v>
      </c>
      <c r="F125" s="4" t="s">
        <v>164</v>
      </c>
      <c r="G125" s="4" t="s">
        <v>165</v>
      </c>
      <c r="H125" s="4" t="s">
        <v>166</v>
      </c>
    </row>
    <row r="126" customFormat="false" ht="41.25" hidden="true" customHeight="true" outlineLevel="1" collapsed="false">
      <c r="A126" s="5" t="s">
        <v>68</v>
      </c>
      <c r="B126" s="5" t="s">
        <v>71</v>
      </c>
      <c r="C126" s="5" t="s">
        <v>167</v>
      </c>
      <c r="D126" s="5" t="s">
        <v>15</v>
      </c>
      <c r="E126" s="19" t="n">
        <v>0.0448</v>
      </c>
      <c r="F126" s="6" t="n">
        <f aca="false">E126*$B$97</f>
        <v>4.281088</v>
      </c>
      <c r="G126" s="5" t="s">
        <v>137</v>
      </c>
      <c r="H126" s="20" t="s">
        <v>126</v>
      </c>
    </row>
    <row r="127" customFormat="false" ht="41.25" hidden="true" customHeight="true" outlineLevel="1" collapsed="false">
      <c r="A127" s="5" t="s">
        <v>68</v>
      </c>
      <c r="B127" s="5" t="s">
        <v>71</v>
      </c>
      <c r="C127" s="5" t="s">
        <v>18</v>
      </c>
      <c r="D127" s="5" t="s">
        <v>19</v>
      </c>
      <c r="E127" s="19" t="n">
        <v>0.1</v>
      </c>
      <c r="F127" s="6" t="n">
        <f aca="false">E127*$B$97</f>
        <v>9.556</v>
      </c>
      <c r="G127" s="5" t="s">
        <v>168</v>
      </c>
      <c r="H127" s="20" t="s">
        <v>126</v>
      </c>
    </row>
    <row r="128" customFormat="false" ht="41.25" hidden="true" customHeight="true" outlineLevel="1" collapsed="false">
      <c r="A128" s="5" t="s">
        <v>68</v>
      </c>
      <c r="B128" s="5" t="s">
        <v>71</v>
      </c>
      <c r="C128" s="5" t="s">
        <v>21</v>
      </c>
      <c r="D128" s="5" t="s">
        <v>22</v>
      </c>
      <c r="E128" s="19" t="n">
        <v>0.1792</v>
      </c>
      <c r="F128" s="6" t="n">
        <f aca="false">E128*$B$97</f>
        <v>17.124352</v>
      </c>
      <c r="G128" s="5" t="s">
        <v>137</v>
      </c>
      <c r="H128" s="20" t="s">
        <v>126</v>
      </c>
    </row>
    <row r="129" customFormat="false" ht="41.25" hidden="true" customHeight="true" outlineLevel="1" collapsed="false">
      <c r="A129" s="5" t="s">
        <v>68</v>
      </c>
      <c r="B129" s="5" t="s">
        <v>71</v>
      </c>
      <c r="C129" s="5" t="s">
        <v>23</v>
      </c>
      <c r="D129" s="5" t="s">
        <v>24</v>
      </c>
      <c r="E129" s="19" t="n">
        <v>0.0912</v>
      </c>
      <c r="F129" s="6" t="n">
        <f aca="false">E129*$B$97</f>
        <v>8.715072</v>
      </c>
      <c r="G129" s="5" t="s">
        <v>137</v>
      </c>
      <c r="H129" s="20" t="s">
        <v>126</v>
      </c>
    </row>
    <row r="130" customFormat="false" ht="41.25" hidden="true" customHeight="true" outlineLevel="1" collapsed="false">
      <c r="A130" s="5" t="s">
        <v>68</v>
      </c>
      <c r="B130" s="5" t="s">
        <v>71</v>
      </c>
      <c r="C130" s="5" t="s">
        <v>27</v>
      </c>
      <c r="D130" s="5" t="s">
        <v>24</v>
      </c>
      <c r="E130" s="19" t="n">
        <v>0.025</v>
      </c>
      <c r="F130" s="6" t="n">
        <f aca="false">E130*$B$97</f>
        <v>2.389</v>
      </c>
      <c r="G130" s="5" t="s">
        <v>169</v>
      </c>
      <c r="H130" s="20" t="s">
        <v>126</v>
      </c>
    </row>
    <row r="131" customFormat="false" ht="41.25" hidden="true" customHeight="true" outlineLevel="1" collapsed="false">
      <c r="A131" s="5" t="s">
        <v>68</v>
      </c>
      <c r="B131" s="5" t="s">
        <v>71</v>
      </c>
      <c r="C131" s="5" t="s">
        <v>29</v>
      </c>
      <c r="D131" s="5" t="s">
        <v>30</v>
      </c>
      <c r="E131" s="19" t="n">
        <v>0</v>
      </c>
      <c r="F131" s="6" t="n">
        <f aca="false">E131*$B$97</f>
        <v>0</v>
      </c>
      <c r="G131" s="5" t="s">
        <v>170</v>
      </c>
      <c r="H131" s="20" t="s">
        <v>126</v>
      </c>
    </row>
    <row r="132" customFormat="false" ht="41.25" hidden="true" customHeight="true" outlineLevel="1" collapsed="false">
      <c r="A132" s="5" t="s">
        <v>68</v>
      </c>
      <c r="B132" s="5" t="s">
        <v>71</v>
      </c>
      <c r="C132" s="5" t="s">
        <v>33</v>
      </c>
      <c r="D132" s="5" t="s">
        <v>34</v>
      </c>
      <c r="E132" s="19" t="n">
        <v>0</v>
      </c>
      <c r="F132" s="6" t="n">
        <f aca="false">E132*$B$97</f>
        <v>0</v>
      </c>
      <c r="G132" s="5" t="s">
        <v>170</v>
      </c>
      <c r="H132" s="20" t="s">
        <v>126</v>
      </c>
    </row>
    <row r="133" customFormat="false" ht="41.25" hidden="true" customHeight="true" outlineLevel="1" collapsed="false">
      <c r="A133" s="5" t="s">
        <v>68</v>
      </c>
      <c r="B133" s="5" t="s">
        <v>71</v>
      </c>
      <c r="C133" s="5" t="s">
        <v>36</v>
      </c>
      <c r="D133" s="5" t="s">
        <v>15</v>
      </c>
      <c r="E133" s="19" t="n">
        <v>0</v>
      </c>
      <c r="F133" s="6" t="n">
        <f aca="false">E133*$B$97</f>
        <v>0</v>
      </c>
      <c r="G133" s="5" t="s">
        <v>170</v>
      </c>
      <c r="H133" s="20" t="s">
        <v>126</v>
      </c>
    </row>
    <row r="134" customFormat="false" ht="41.25" hidden="true" customHeight="true" outlineLevel="1" collapsed="false">
      <c r="A134" s="5" t="s">
        <v>68</v>
      </c>
      <c r="B134" s="5" t="s">
        <v>71</v>
      </c>
      <c r="C134" s="5" t="s">
        <v>37</v>
      </c>
      <c r="D134" s="5" t="s">
        <v>30</v>
      </c>
      <c r="E134" s="19" t="n">
        <v>0</v>
      </c>
      <c r="F134" s="6" t="n">
        <f aca="false">E134*$B$97</f>
        <v>0</v>
      </c>
      <c r="G134" s="5" t="s">
        <v>170</v>
      </c>
      <c r="H134" s="20" t="s">
        <v>126</v>
      </c>
    </row>
    <row r="135" customFormat="false" ht="30" hidden="true" customHeight="true" outlineLevel="1" collapsed="false">
      <c r="A135" s="5" t="s">
        <v>171</v>
      </c>
      <c r="B135" s="5" t="s">
        <v>172</v>
      </c>
      <c r="C135" s="5" t="s">
        <v>167</v>
      </c>
      <c r="D135" s="5" t="s">
        <v>15</v>
      </c>
      <c r="G135" s="5" t="s">
        <v>173</v>
      </c>
      <c r="H135" s="20" t="s">
        <v>174</v>
      </c>
    </row>
    <row r="136" customFormat="false" ht="30" hidden="true" customHeight="true" outlineLevel="1" collapsed="false">
      <c r="A136" s="5" t="s">
        <v>171</v>
      </c>
      <c r="B136" s="5" t="s">
        <v>172</v>
      </c>
      <c r="C136" s="5" t="s">
        <v>18</v>
      </c>
      <c r="D136" s="5" t="s">
        <v>19</v>
      </c>
      <c r="G136" s="5" t="s">
        <v>175</v>
      </c>
      <c r="H136" s="20" t="s">
        <v>174</v>
      </c>
    </row>
    <row r="137" customFormat="false" ht="30" hidden="true" customHeight="true" outlineLevel="1" collapsed="false">
      <c r="A137" s="5" t="s">
        <v>171</v>
      </c>
      <c r="B137" s="5" t="s">
        <v>172</v>
      </c>
      <c r="C137" s="5" t="s">
        <v>21</v>
      </c>
      <c r="D137" s="5" t="s">
        <v>22</v>
      </c>
      <c r="G137" s="5" t="s">
        <v>173</v>
      </c>
      <c r="H137" s="20" t="s">
        <v>174</v>
      </c>
    </row>
    <row r="138" customFormat="false" ht="30" hidden="true" customHeight="true" outlineLevel="1" collapsed="false">
      <c r="A138" s="5" t="s">
        <v>171</v>
      </c>
      <c r="B138" s="5" t="s">
        <v>172</v>
      </c>
      <c r="C138" s="5" t="s">
        <v>23</v>
      </c>
      <c r="D138" s="5" t="s">
        <v>24</v>
      </c>
      <c r="G138" s="5" t="s">
        <v>176</v>
      </c>
      <c r="H138" s="20" t="s">
        <v>174</v>
      </c>
    </row>
    <row r="139" customFormat="false" ht="30" hidden="true" customHeight="true" outlineLevel="1" collapsed="false">
      <c r="A139" s="5" t="s">
        <v>171</v>
      </c>
      <c r="B139" s="5" t="s">
        <v>172</v>
      </c>
      <c r="C139" s="5" t="s">
        <v>27</v>
      </c>
      <c r="D139" s="5" t="s">
        <v>24</v>
      </c>
      <c r="G139" s="5" t="s">
        <v>177</v>
      </c>
      <c r="H139" s="20" t="s">
        <v>174</v>
      </c>
    </row>
    <row r="140" customFormat="false" ht="30" hidden="true" customHeight="true" outlineLevel="1" collapsed="false">
      <c r="A140" s="5" t="s">
        <v>171</v>
      </c>
      <c r="B140" s="5" t="s">
        <v>172</v>
      </c>
      <c r="C140" s="5" t="s">
        <v>29</v>
      </c>
      <c r="D140" s="5" t="s">
        <v>30</v>
      </c>
      <c r="G140" s="5" t="s">
        <v>178</v>
      </c>
      <c r="H140" s="20" t="s">
        <v>174</v>
      </c>
    </row>
    <row r="141" customFormat="false" ht="30" hidden="true" customHeight="true" outlineLevel="1" collapsed="false">
      <c r="A141" s="5" t="s">
        <v>171</v>
      </c>
      <c r="B141" s="5" t="s">
        <v>172</v>
      </c>
      <c r="C141" s="5" t="s">
        <v>33</v>
      </c>
      <c r="D141" s="5" t="s">
        <v>34</v>
      </c>
      <c r="G141" s="5" t="s">
        <v>179</v>
      </c>
      <c r="H141" s="20" t="s">
        <v>174</v>
      </c>
    </row>
    <row r="142" customFormat="false" ht="30" hidden="true" customHeight="true" outlineLevel="1" collapsed="false">
      <c r="A142" s="5" t="s">
        <v>171</v>
      </c>
      <c r="B142" s="5" t="s">
        <v>172</v>
      </c>
      <c r="C142" s="5" t="s">
        <v>36</v>
      </c>
      <c r="D142" s="5" t="s">
        <v>15</v>
      </c>
      <c r="G142" s="5" t="s">
        <v>180</v>
      </c>
      <c r="H142" s="20" t="s">
        <v>174</v>
      </c>
    </row>
    <row r="143" customFormat="false" ht="30" hidden="true" customHeight="true" outlineLevel="1" collapsed="false">
      <c r="A143" s="5" t="s">
        <v>171</v>
      </c>
      <c r="B143" s="5" t="s">
        <v>172</v>
      </c>
      <c r="C143" s="5" t="s">
        <v>37</v>
      </c>
      <c r="D143" s="5" t="s">
        <v>30</v>
      </c>
      <c r="G143" s="5" t="s">
        <v>181</v>
      </c>
      <c r="H143" s="20" t="s">
        <v>174</v>
      </c>
    </row>
    <row r="144" customFormat="false" ht="30" hidden="true" customHeight="true" outlineLevel="1" collapsed="false">
      <c r="A144" s="5" t="s">
        <v>182</v>
      </c>
      <c r="B144" s="5" t="s">
        <v>183</v>
      </c>
      <c r="C144" s="5" t="s">
        <v>167</v>
      </c>
      <c r="D144" s="5" t="s">
        <v>15</v>
      </c>
      <c r="G144" s="5" t="s">
        <v>184</v>
      </c>
      <c r="H144" s="20" t="s">
        <v>174</v>
      </c>
    </row>
    <row r="145" customFormat="false" ht="30" hidden="true" customHeight="true" outlineLevel="1" collapsed="false">
      <c r="A145" s="5" t="s">
        <v>182</v>
      </c>
      <c r="B145" s="5" t="s">
        <v>183</v>
      </c>
      <c r="C145" s="5" t="s">
        <v>18</v>
      </c>
      <c r="D145" s="5" t="s">
        <v>19</v>
      </c>
      <c r="G145" s="5" t="s">
        <v>185</v>
      </c>
      <c r="H145" s="20" t="s">
        <v>174</v>
      </c>
    </row>
    <row r="146" customFormat="false" ht="30" hidden="true" customHeight="true" outlineLevel="1" collapsed="false">
      <c r="A146" s="5" t="s">
        <v>182</v>
      </c>
      <c r="B146" s="5" t="s">
        <v>183</v>
      </c>
      <c r="C146" s="5" t="s">
        <v>21</v>
      </c>
      <c r="D146" s="5" t="s">
        <v>22</v>
      </c>
      <c r="G146" s="5" t="s">
        <v>184</v>
      </c>
      <c r="H146" s="20" t="s">
        <v>174</v>
      </c>
    </row>
    <row r="147" customFormat="false" ht="30" hidden="true" customHeight="true" outlineLevel="1" collapsed="false">
      <c r="A147" s="5" t="s">
        <v>182</v>
      </c>
      <c r="B147" s="5" t="s">
        <v>183</v>
      </c>
      <c r="C147" s="5" t="s">
        <v>23</v>
      </c>
      <c r="D147" s="5" t="s">
        <v>24</v>
      </c>
      <c r="G147" s="5" t="s">
        <v>186</v>
      </c>
      <c r="H147" s="20" t="s">
        <v>174</v>
      </c>
    </row>
    <row r="148" customFormat="false" ht="30" hidden="true" customHeight="true" outlineLevel="1" collapsed="false">
      <c r="A148" s="5" t="s">
        <v>182</v>
      </c>
      <c r="B148" s="5" t="s">
        <v>183</v>
      </c>
      <c r="C148" s="5" t="s">
        <v>27</v>
      </c>
      <c r="D148" s="5" t="s">
        <v>24</v>
      </c>
      <c r="G148" s="5" t="s">
        <v>187</v>
      </c>
      <c r="H148" s="20" t="s">
        <v>174</v>
      </c>
    </row>
    <row r="149" customFormat="false" ht="30" hidden="true" customHeight="true" outlineLevel="1" collapsed="false">
      <c r="A149" s="5" t="s">
        <v>182</v>
      </c>
      <c r="B149" s="5" t="s">
        <v>183</v>
      </c>
      <c r="C149" s="5" t="s">
        <v>29</v>
      </c>
      <c r="D149" s="5" t="s">
        <v>30</v>
      </c>
      <c r="G149" s="5" t="s">
        <v>188</v>
      </c>
      <c r="H149" s="20" t="s">
        <v>174</v>
      </c>
    </row>
    <row r="150" customFormat="false" ht="30" hidden="true" customHeight="true" outlineLevel="1" collapsed="false">
      <c r="A150" s="5" t="s">
        <v>182</v>
      </c>
      <c r="B150" s="5" t="s">
        <v>183</v>
      </c>
      <c r="C150" s="5" t="s">
        <v>33</v>
      </c>
      <c r="D150" s="5" t="s">
        <v>34</v>
      </c>
      <c r="G150" s="5" t="s">
        <v>189</v>
      </c>
      <c r="H150" s="20" t="s">
        <v>174</v>
      </c>
    </row>
    <row r="151" customFormat="false" ht="30" hidden="true" customHeight="true" outlineLevel="1" collapsed="false">
      <c r="A151" s="5" t="s">
        <v>182</v>
      </c>
      <c r="B151" s="5" t="s">
        <v>183</v>
      </c>
      <c r="C151" s="5" t="s">
        <v>36</v>
      </c>
      <c r="D151" s="5" t="s">
        <v>15</v>
      </c>
      <c r="G151" s="5" t="s">
        <v>190</v>
      </c>
      <c r="H151" s="20" t="s">
        <v>174</v>
      </c>
    </row>
    <row r="152" customFormat="false" ht="30" hidden="true" customHeight="true" outlineLevel="1" collapsed="false">
      <c r="A152" s="5" t="s">
        <v>182</v>
      </c>
      <c r="B152" s="5" t="s">
        <v>183</v>
      </c>
      <c r="C152" s="5" t="s">
        <v>37</v>
      </c>
      <c r="D152" s="5" t="s">
        <v>30</v>
      </c>
      <c r="G152" s="5" t="s">
        <v>191</v>
      </c>
      <c r="H152" s="20" t="s">
        <v>174</v>
      </c>
    </row>
    <row r="153" customFormat="false" ht="41.25" hidden="true" customHeight="true" outlineLevel="1" collapsed="false">
      <c r="A153" s="5" t="s">
        <v>68</v>
      </c>
      <c r="B153" s="5" t="s">
        <v>71</v>
      </c>
      <c r="C153" s="5" t="s">
        <v>192</v>
      </c>
      <c r="D153" s="5" t="s">
        <v>15</v>
      </c>
      <c r="E153" s="19" t="n">
        <v>0.0448</v>
      </c>
      <c r="F153" s="6" t="n">
        <f aca="false">E153*$B$97</f>
        <v>4.281088</v>
      </c>
      <c r="G153" s="5" t="s">
        <v>137</v>
      </c>
      <c r="H153" s="20" t="s">
        <v>126</v>
      </c>
    </row>
    <row r="154" customFormat="false" ht="41.25" hidden="true" customHeight="true" outlineLevel="1" collapsed="false">
      <c r="A154" s="5" t="s">
        <v>68</v>
      </c>
      <c r="B154" s="5" t="s">
        <v>71</v>
      </c>
      <c r="C154" s="5" t="s">
        <v>193</v>
      </c>
      <c r="D154" s="5" t="s">
        <v>15</v>
      </c>
      <c r="E154" s="19" t="n">
        <v>0.1792</v>
      </c>
      <c r="F154" s="6" t="n">
        <f aca="false">E154*$B$97</f>
        <v>17.124352</v>
      </c>
      <c r="G154" s="5" t="s">
        <v>137</v>
      </c>
      <c r="H154" s="20" t="s">
        <v>126</v>
      </c>
    </row>
    <row r="157" customFormat="false" ht="15" hidden="false" customHeight="false" outlineLevel="0" collapsed="false">
      <c r="A157" s="2" t="s">
        <v>194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customFormat="false" ht="30" hidden="true" customHeight="true" outlineLevel="1" collapsed="false">
      <c r="A158" s="3" t="s">
        <v>195</v>
      </c>
      <c r="B158" s="3"/>
      <c r="C158" s="3"/>
      <c r="D158" s="3"/>
      <c r="E158" s="3"/>
      <c r="F158" s="3"/>
      <c r="G158" s="3"/>
      <c r="H158" s="3"/>
    </row>
    <row r="159" customFormat="false" ht="30" hidden="true" customHeight="true" outlineLevel="1" collapsed="false"/>
    <row r="160" customFormat="false" ht="30" hidden="true" customHeight="true" outlineLevel="1" collapsed="false">
      <c r="A160" s="4" t="s">
        <v>196</v>
      </c>
      <c r="B160" s="4" t="s">
        <v>197</v>
      </c>
      <c r="C160" s="4" t="s">
        <v>198</v>
      </c>
      <c r="D160" s="4" t="s">
        <v>199</v>
      </c>
      <c r="E160" s="4" t="s">
        <v>200</v>
      </c>
      <c r="F160" s="4" t="s">
        <v>201</v>
      </c>
      <c r="G160" s="4" t="s">
        <v>202</v>
      </c>
      <c r="H160" s="4" t="s">
        <v>203</v>
      </c>
      <c r="I160" s="4" t="s">
        <v>204</v>
      </c>
    </row>
    <row r="161" customFormat="false" ht="30" hidden="true" customHeight="true" outlineLevel="1" collapsed="false">
      <c r="A161" s="21" t="n">
        <v>1</v>
      </c>
      <c r="B161" s="21" t="s">
        <v>205</v>
      </c>
      <c r="C161" s="21" t="n">
        <v>20</v>
      </c>
      <c r="D161" s="21" t="s">
        <v>206</v>
      </c>
      <c r="E161" s="21" t="n">
        <v>0</v>
      </c>
      <c r="F161" s="21" t="n">
        <v>0</v>
      </c>
      <c r="G161" s="21" t="n">
        <v>0</v>
      </c>
      <c r="H161" s="21" t="n">
        <v>0</v>
      </c>
      <c r="I161" s="21" t="n">
        <v>1</v>
      </c>
    </row>
    <row r="162" customFormat="false" ht="30" hidden="true" customHeight="true" outlineLevel="1" collapsed="false">
      <c r="A162" s="21" t="n">
        <v>2</v>
      </c>
      <c r="B162" s="21" t="s">
        <v>207</v>
      </c>
      <c r="C162" s="21" t="n">
        <v>20</v>
      </c>
      <c r="D162" s="21" t="s">
        <v>208</v>
      </c>
      <c r="E162" s="21" t="n">
        <v>0</v>
      </c>
      <c r="F162" s="21" t="n">
        <v>0</v>
      </c>
      <c r="G162" s="21" t="n">
        <v>0</v>
      </c>
      <c r="H162" s="21" t="n">
        <v>0</v>
      </c>
      <c r="I162" s="21" t="n">
        <v>1</v>
      </c>
    </row>
    <row r="163" customFormat="false" ht="30" hidden="true" customHeight="true" outlineLevel="1" collapsed="false">
      <c r="A163" s="21" t="n">
        <v>3</v>
      </c>
      <c r="B163" s="21" t="s">
        <v>209</v>
      </c>
      <c r="C163" s="21" t="n">
        <v>20</v>
      </c>
      <c r="D163" s="21" t="s">
        <v>208</v>
      </c>
      <c r="E163" s="21" t="n">
        <v>0</v>
      </c>
      <c r="F163" s="21" t="n">
        <v>0</v>
      </c>
      <c r="G163" s="21" t="n">
        <v>0</v>
      </c>
      <c r="H163" s="21" t="n">
        <v>0</v>
      </c>
      <c r="I163" s="21" t="n">
        <v>1</v>
      </c>
    </row>
    <row r="164" customFormat="false" ht="30" hidden="true" customHeight="true" outlineLevel="1" collapsed="false">
      <c r="A164" s="21" t="n">
        <v>4</v>
      </c>
      <c r="B164" s="21" t="s">
        <v>210</v>
      </c>
      <c r="C164" s="21" t="n">
        <v>20</v>
      </c>
      <c r="D164" s="21" t="s">
        <v>208</v>
      </c>
      <c r="E164" s="21" t="n">
        <v>0</v>
      </c>
      <c r="F164" s="21" t="n">
        <v>0</v>
      </c>
      <c r="G164" s="21" t="n">
        <v>0</v>
      </c>
      <c r="H164" s="21" t="n">
        <v>0</v>
      </c>
      <c r="I164" s="21" t="n">
        <v>1</v>
      </c>
    </row>
    <row r="165" customFormat="false" ht="30" hidden="true" customHeight="true" outlineLevel="1" collapsed="false">
      <c r="A165" s="21" t="n">
        <v>5</v>
      </c>
      <c r="B165" s="21" t="s">
        <v>211</v>
      </c>
      <c r="C165" s="21" t="n">
        <v>20</v>
      </c>
      <c r="D165" s="21" t="s">
        <v>208</v>
      </c>
      <c r="E165" s="21" t="n">
        <v>0</v>
      </c>
      <c r="F165" s="21" t="n">
        <v>0</v>
      </c>
      <c r="G165" s="21" t="n">
        <v>0</v>
      </c>
      <c r="H165" s="21" t="n">
        <v>0</v>
      </c>
      <c r="I165" s="21" t="n">
        <v>1</v>
      </c>
    </row>
    <row r="166" customFormat="false" ht="30" hidden="true" customHeight="true" outlineLevel="1" collapsed="false">
      <c r="A166" s="21" t="n">
        <v>6</v>
      </c>
      <c r="B166" s="21" t="s">
        <v>212</v>
      </c>
      <c r="C166" s="21" t="n">
        <v>20</v>
      </c>
      <c r="D166" s="21" t="s">
        <v>208</v>
      </c>
      <c r="E166" s="21" t="n">
        <v>0</v>
      </c>
      <c r="F166" s="21" t="n">
        <v>0</v>
      </c>
      <c r="G166" s="21" t="n">
        <v>0</v>
      </c>
      <c r="H166" s="21" t="n">
        <v>0</v>
      </c>
      <c r="I166" s="21" t="n">
        <v>1</v>
      </c>
    </row>
    <row r="167" customFormat="false" ht="30" hidden="true" customHeight="true" outlineLevel="1" collapsed="false">
      <c r="A167" s="21" t="n">
        <v>7</v>
      </c>
      <c r="B167" s="21" t="s">
        <v>213</v>
      </c>
      <c r="C167" s="21" t="n">
        <v>20</v>
      </c>
      <c r="D167" s="21" t="s">
        <v>206</v>
      </c>
      <c r="E167" s="21" t="n">
        <v>0</v>
      </c>
      <c r="F167" s="21" t="n">
        <v>0</v>
      </c>
      <c r="G167" s="21" t="n">
        <v>0</v>
      </c>
      <c r="H167" s="21" t="n">
        <v>0</v>
      </c>
      <c r="I167" s="21" t="n">
        <v>1</v>
      </c>
    </row>
    <row r="168" customFormat="false" ht="30" hidden="true" customHeight="true" outlineLevel="1" collapsed="false">
      <c r="A168" s="21" t="n">
        <v>8</v>
      </c>
      <c r="B168" s="21" t="s">
        <v>214</v>
      </c>
      <c r="C168" s="21" t="n">
        <v>20</v>
      </c>
      <c r="D168" s="21" t="s">
        <v>206</v>
      </c>
      <c r="E168" s="21" t="n">
        <v>0</v>
      </c>
      <c r="F168" s="21" t="n">
        <v>0</v>
      </c>
      <c r="G168" s="21" t="n">
        <v>0</v>
      </c>
      <c r="H168" s="21" t="n">
        <v>0</v>
      </c>
      <c r="I168" s="21" t="n">
        <v>1</v>
      </c>
    </row>
    <row r="169" customFormat="false" ht="30" hidden="true" customHeight="true" outlineLevel="1" collapsed="false">
      <c r="A169" s="21" t="n">
        <v>9</v>
      </c>
      <c r="B169" s="21" t="s">
        <v>215</v>
      </c>
      <c r="C169" s="21" t="n">
        <v>20</v>
      </c>
      <c r="D169" s="21" t="s">
        <v>208</v>
      </c>
      <c r="E169" s="21" t="n">
        <v>0</v>
      </c>
      <c r="F169" s="21" t="n">
        <v>0</v>
      </c>
      <c r="G169" s="21" t="n">
        <v>0</v>
      </c>
      <c r="H169" s="21" t="n">
        <v>0</v>
      </c>
      <c r="I169" s="21" t="n">
        <v>1</v>
      </c>
    </row>
    <row r="170" customFormat="false" ht="30" hidden="true" customHeight="true" outlineLevel="1" collapsed="false">
      <c r="A170" s="21" t="n">
        <v>10</v>
      </c>
      <c r="B170" s="21" t="s">
        <v>216</v>
      </c>
      <c r="C170" s="21" t="n">
        <v>20</v>
      </c>
      <c r="D170" s="21" t="s">
        <v>206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1</v>
      </c>
    </row>
    <row r="171" customFormat="false" ht="30" hidden="true" customHeight="true" outlineLevel="1" collapsed="false">
      <c r="A171" s="21" t="n">
        <v>11</v>
      </c>
      <c r="B171" s="21" t="s">
        <v>217</v>
      </c>
      <c r="C171" s="21" t="n">
        <v>20</v>
      </c>
      <c r="D171" s="21" t="s">
        <v>206</v>
      </c>
      <c r="E171" s="21" t="n">
        <v>0</v>
      </c>
      <c r="F171" s="21" t="n">
        <v>0</v>
      </c>
      <c r="G171" s="21" t="n">
        <v>0</v>
      </c>
      <c r="H171" s="21" t="n">
        <v>0</v>
      </c>
      <c r="I171" s="21" t="n">
        <v>1</v>
      </c>
    </row>
    <row r="172" customFormat="false" ht="30" hidden="true" customHeight="true" outlineLevel="1" collapsed="false">
      <c r="A172" s="21" t="n">
        <v>12</v>
      </c>
      <c r="B172" s="21" t="s">
        <v>218</v>
      </c>
      <c r="C172" s="21" t="n">
        <v>20</v>
      </c>
      <c r="D172" s="21" t="s">
        <v>206</v>
      </c>
      <c r="E172" s="21" t="n">
        <v>0</v>
      </c>
      <c r="F172" s="21" t="n">
        <v>0</v>
      </c>
      <c r="G172" s="21" t="n">
        <v>0</v>
      </c>
      <c r="H172" s="21" t="n">
        <v>0</v>
      </c>
      <c r="I172" s="21" t="n">
        <v>1</v>
      </c>
    </row>
    <row r="173" customFormat="false" ht="30" hidden="true" customHeight="true" outlineLevel="1" collapsed="false">
      <c r="A173" s="21" t="n">
        <v>13</v>
      </c>
      <c r="B173" s="21" t="s">
        <v>219</v>
      </c>
      <c r="C173" s="21" t="n">
        <v>20</v>
      </c>
      <c r="D173" s="21" t="s">
        <v>206</v>
      </c>
      <c r="E173" s="21" t="n">
        <v>0</v>
      </c>
      <c r="F173" s="21" t="n">
        <v>0</v>
      </c>
      <c r="G173" s="21" t="n">
        <v>0</v>
      </c>
      <c r="H173" s="21" t="n">
        <v>0</v>
      </c>
      <c r="I173" s="21" t="n">
        <v>1</v>
      </c>
    </row>
    <row r="174" customFormat="false" ht="30" hidden="true" customHeight="true" outlineLevel="1" collapsed="false">
      <c r="A174" s="21" t="n">
        <v>14</v>
      </c>
      <c r="B174" s="21" t="s">
        <v>220</v>
      </c>
      <c r="C174" s="21" t="n">
        <v>20</v>
      </c>
      <c r="D174" s="21" t="s">
        <v>206</v>
      </c>
      <c r="E174" s="21" t="n">
        <v>0</v>
      </c>
      <c r="F174" s="21" t="n">
        <v>0</v>
      </c>
      <c r="G174" s="21" t="n">
        <v>0</v>
      </c>
      <c r="H174" s="21" t="n">
        <v>0</v>
      </c>
      <c r="I174" s="21" t="n">
        <v>1</v>
      </c>
    </row>
    <row r="175" customFormat="false" ht="30" hidden="true" customHeight="true" outlineLevel="1" collapsed="false">
      <c r="A175" s="21" t="n">
        <v>15</v>
      </c>
      <c r="B175" s="21" t="s">
        <v>221</v>
      </c>
      <c r="C175" s="21" t="n">
        <v>20</v>
      </c>
      <c r="D175" s="21" t="s">
        <v>206</v>
      </c>
      <c r="E175" s="21" t="n">
        <v>0</v>
      </c>
      <c r="F175" s="21" t="n">
        <v>0</v>
      </c>
      <c r="G175" s="21" t="n">
        <v>0</v>
      </c>
      <c r="H175" s="21" t="n">
        <v>0</v>
      </c>
      <c r="I175" s="21" t="n">
        <v>1</v>
      </c>
    </row>
    <row r="176" customFormat="false" ht="30" hidden="true" customHeight="true" outlineLevel="1" collapsed="false">
      <c r="A176" s="21" t="n">
        <v>16</v>
      </c>
      <c r="B176" s="21" t="s">
        <v>222</v>
      </c>
      <c r="C176" s="21" t="n">
        <v>20</v>
      </c>
      <c r="D176" s="21" t="s">
        <v>206</v>
      </c>
      <c r="E176" s="21" t="n">
        <v>0</v>
      </c>
      <c r="F176" s="21" t="n">
        <v>0</v>
      </c>
      <c r="G176" s="21" t="n">
        <v>0</v>
      </c>
      <c r="H176" s="21" t="n">
        <v>0</v>
      </c>
      <c r="I176" s="21" t="n">
        <v>1</v>
      </c>
    </row>
    <row r="177" customFormat="false" ht="30" hidden="true" customHeight="true" outlineLevel="1" collapsed="false">
      <c r="A177" s="21" t="n">
        <v>17</v>
      </c>
      <c r="B177" s="21" t="s">
        <v>223</v>
      </c>
      <c r="C177" s="21" t="n">
        <v>20</v>
      </c>
      <c r="D177" s="21" t="s">
        <v>208</v>
      </c>
      <c r="E177" s="21" t="n">
        <v>0</v>
      </c>
      <c r="F177" s="21" t="n">
        <v>0</v>
      </c>
      <c r="G177" s="21" t="n">
        <v>0</v>
      </c>
      <c r="H177" s="21" t="n">
        <v>10</v>
      </c>
      <c r="I177" s="21" t="n">
        <v>1</v>
      </c>
    </row>
    <row r="178" customFormat="false" ht="30" hidden="true" customHeight="true" outlineLevel="1" collapsed="false">
      <c r="A178" s="21" t="n">
        <v>18</v>
      </c>
      <c r="B178" s="21" t="s">
        <v>224</v>
      </c>
      <c r="C178" s="21" t="n">
        <v>20</v>
      </c>
      <c r="D178" s="21" t="s">
        <v>206</v>
      </c>
      <c r="E178" s="21" t="n">
        <v>1</v>
      </c>
      <c r="F178" s="21" t="n">
        <v>1</v>
      </c>
      <c r="G178" s="21" t="n">
        <v>0</v>
      </c>
      <c r="H178" s="21" t="n">
        <v>0</v>
      </c>
      <c r="I178" s="21" t="n">
        <v>1</v>
      </c>
    </row>
    <row r="179" customFormat="false" ht="30" hidden="true" customHeight="true" outlineLevel="1" collapsed="false">
      <c r="A179" s="21" t="n">
        <v>19</v>
      </c>
      <c r="B179" s="21" t="s">
        <v>225</v>
      </c>
      <c r="C179" s="21" t="n">
        <v>20</v>
      </c>
      <c r="D179" s="21" t="s">
        <v>208</v>
      </c>
      <c r="E179" s="21" t="n">
        <v>0</v>
      </c>
      <c r="F179" s="21" t="n">
        <v>0</v>
      </c>
      <c r="G179" s="21" t="n">
        <v>0</v>
      </c>
      <c r="H179" s="21" t="n">
        <v>0</v>
      </c>
      <c r="I179" s="21" t="n">
        <v>1</v>
      </c>
    </row>
    <row r="180" customFormat="false" ht="30" hidden="true" customHeight="true" outlineLevel="1" collapsed="false">
      <c r="A180" s="21" t="n">
        <v>20</v>
      </c>
      <c r="B180" s="21" t="s">
        <v>226</v>
      </c>
      <c r="C180" s="21" t="n">
        <v>20</v>
      </c>
      <c r="D180" s="21" t="s">
        <v>206</v>
      </c>
      <c r="E180" s="21" t="n">
        <v>0</v>
      </c>
      <c r="F180" s="21" t="n">
        <v>0</v>
      </c>
      <c r="G180" s="21" t="n">
        <v>0</v>
      </c>
      <c r="H180" s="21" t="n">
        <v>0</v>
      </c>
      <c r="I180" s="21" t="n">
        <v>1</v>
      </c>
    </row>
    <row r="181" customFormat="false" ht="30" hidden="true" customHeight="true" outlineLevel="1" collapsed="false"/>
    <row r="182" customFormat="false" ht="30" hidden="true" customHeight="true" outlineLevel="1" collapsed="false">
      <c r="A182" s="9" t="s">
        <v>227</v>
      </c>
      <c r="B182" s="9"/>
      <c r="C182" s="9"/>
      <c r="D182" s="9"/>
      <c r="E182" s="9"/>
      <c r="F182" s="9"/>
      <c r="G182" s="9"/>
      <c r="H182" s="9"/>
      <c r="I182" s="9"/>
    </row>
    <row r="183" customFormat="false" ht="30" hidden="true" customHeight="true" outlineLevel="1" collapsed="false">
      <c r="A183" s="16" t="s">
        <v>228</v>
      </c>
      <c r="B183" s="16"/>
      <c r="C183" s="16"/>
      <c r="D183" s="16"/>
      <c r="E183" s="16"/>
      <c r="F183" s="16"/>
      <c r="G183" s="16"/>
      <c r="H183" s="16"/>
      <c r="I183" s="16"/>
    </row>
    <row r="184" customFormat="false" ht="30" hidden="true" customHeight="true" outlineLevel="1" collapsed="false">
      <c r="A184" s="16"/>
      <c r="B184" s="16"/>
      <c r="C184" s="16"/>
      <c r="D184" s="16"/>
      <c r="E184" s="16"/>
      <c r="F184" s="16"/>
      <c r="G184" s="16"/>
      <c r="H184" s="16"/>
      <c r="I184" s="16"/>
    </row>
    <row r="187" customFormat="false" ht="15" hidden="false" customHeight="false" outlineLevel="0" collapsed="false">
      <c r="A187" s="2" t="s">
        <v>229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customFormat="false" ht="30" hidden="true" customHeight="true" outlineLevel="1" collapsed="false">
      <c r="A188" s="21" t="s">
        <v>4</v>
      </c>
      <c r="B188" s="21" t="s">
        <v>230</v>
      </c>
      <c r="C188" s="21" t="s">
        <v>231</v>
      </c>
      <c r="D188" s="21" t="s">
        <v>232</v>
      </c>
      <c r="E188" s="21" t="s">
        <v>163</v>
      </c>
      <c r="F188" s="21" t="s">
        <v>13</v>
      </c>
      <c r="G188" s="21" t="s">
        <v>233</v>
      </c>
      <c r="H188" s="21" t="s">
        <v>234</v>
      </c>
      <c r="I188" s="21" t="s">
        <v>235</v>
      </c>
      <c r="J188" s="21" t="s">
        <v>236</v>
      </c>
      <c r="K188" s="21" t="s">
        <v>237</v>
      </c>
    </row>
    <row r="189" customFormat="false" ht="30" hidden="true" customHeight="true" outlineLevel="1" collapsed="false">
      <c r="A189" s="21" t="s">
        <v>167</v>
      </c>
      <c r="B189" s="21" t="s">
        <v>238</v>
      </c>
      <c r="C189" s="21" t="s">
        <v>239</v>
      </c>
      <c r="D189" s="21" t="s">
        <v>240</v>
      </c>
      <c r="E189" s="21" t="n">
        <v>0.0448</v>
      </c>
      <c r="F189" s="21" t="s">
        <v>71</v>
      </c>
      <c r="G189" s="21" t="s">
        <v>137</v>
      </c>
      <c r="H189" s="21" t="s">
        <v>126</v>
      </c>
      <c r="I189" s="21" t="n">
        <v>0.0448</v>
      </c>
      <c r="J189" s="21" t="n">
        <v>0</v>
      </c>
      <c r="K189" s="21" t="s">
        <v>241</v>
      </c>
    </row>
    <row r="190" customFormat="false" ht="30" hidden="true" customHeight="true" outlineLevel="1" collapsed="false">
      <c r="A190" s="21" t="s">
        <v>192</v>
      </c>
      <c r="B190" s="21" t="s">
        <v>238</v>
      </c>
      <c r="C190" s="21" t="s">
        <v>239</v>
      </c>
      <c r="D190" s="21" t="s">
        <v>240</v>
      </c>
      <c r="E190" s="21" t="n">
        <v>0.0448</v>
      </c>
      <c r="F190" s="21" t="s">
        <v>71</v>
      </c>
      <c r="G190" s="21" t="s">
        <v>137</v>
      </c>
      <c r="H190" s="21" t="s">
        <v>126</v>
      </c>
      <c r="I190" s="21" t="n">
        <v>0.0448</v>
      </c>
      <c r="J190" s="21" t="n">
        <v>0</v>
      </c>
      <c r="K190" s="21" t="s">
        <v>241</v>
      </c>
    </row>
    <row r="191" customFormat="false" ht="30" hidden="true" customHeight="true" outlineLevel="1" collapsed="false">
      <c r="A191" s="21" t="s">
        <v>193</v>
      </c>
      <c r="B191" s="21" t="s">
        <v>242</v>
      </c>
      <c r="C191" s="21" t="s">
        <v>243</v>
      </c>
      <c r="D191" s="21" t="s">
        <v>240</v>
      </c>
      <c r="E191" s="21" t="n">
        <v>0.1792</v>
      </c>
      <c r="F191" s="21" t="s">
        <v>71</v>
      </c>
      <c r="G191" s="21" t="s">
        <v>137</v>
      </c>
      <c r="H191" s="21" t="s">
        <v>126</v>
      </c>
      <c r="I191" s="21" t="n">
        <v>0.1792</v>
      </c>
      <c r="J191" s="21" t="n">
        <v>0</v>
      </c>
      <c r="K191" s="21" t="s">
        <v>241</v>
      </c>
    </row>
    <row r="192" customFormat="false" ht="30" hidden="true" customHeight="true" outlineLevel="1" collapsed="false">
      <c r="A192" s="21" t="s">
        <v>18</v>
      </c>
      <c r="B192" s="21" t="s">
        <v>244</v>
      </c>
      <c r="C192" s="21" t="s">
        <v>245</v>
      </c>
      <c r="D192" s="21" t="s">
        <v>246</v>
      </c>
      <c r="E192" s="21" t="n">
        <v>0.1</v>
      </c>
      <c r="F192" s="21" t="s">
        <v>71</v>
      </c>
      <c r="G192" s="21" t="s">
        <v>168</v>
      </c>
      <c r="H192" s="21" t="s">
        <v>126</v>
      </c>
      <c r="I192" s="21" t="n">
        <v>0.1</v>
      </c>
      <c r="J192" s="21" t="n">
        <v>0</v>
      </c>
      <c r="K192" s="21" t="s">
        <v>241</v>
      </c>
    </row>
    <row r="193" customFormat="false" ht="30" hidden="true" customHeight="true" outlineLevel="1" collapsed="false">
      <c r="A193" s="21" t="s">
        <v>21</v>
      </c>
      <c r="B193" s="21" t="s">
        <v>242</v>
      </c>
      <c r="C193" s="21" t="s">
        <v>243</v>
      </c>
      <c r="D193" s="21" t="s">
        <v>240</v>
      </c>
      <c r="E193" s="21" t="n">
        <v>0.1792</v>
      </c>
      <c r="F193" s="21" t="s">
        <v>71</v>
      </c>
      <c r="G193" s="21" t="s">
        <v>137</v>
      </c>
      <c r="H193" s="21" t="s">
        <v>126</v>
      </c>
      <c r="I193" s="21" t="n">
        <v>0.1792</v>
      </c>
      <c r="J193" s="21" t="n">
        <v>0</v>
      </c>
      <c r="K193" s="21" t="s">
        <v>241</v>
      </c>
    </row>
    <row r="194" customFormat="false" ht="30" hidden="true" customHeight="true" outlineLevel="1" collapsed="false">
      <c r="A194" s="21" t="s">
        <v>23</v>
      </c>
      <c r="B194" s="21" t="s">
        <v>247</v>
      </c>
      <c r="C194" s="21" t="s">
        <v>248</v>
      </c>
      <c r="D194" s="21" t="s">
        <v>249</v>
      </c>
      <c r="E194" s="21" t="n">
        <v>0.0912</v>
      </c>
      <c r="F194" s="21" t="s">
        <v>71</v>
      </c>
      <c r="G194" s="21" t="s">
        <v>137</v>
      </c>
      <c r="H194" s="21" t="s">
        <v>126</v>
      </c>
      <c r="I194" s="21" t="n">
        <v>0.0912</v>
      </c>
      <c r="J194" s="21" t="n">
        <v>0</v>
      </c>
      <c r="K194" s="21" t="s">
        <v>241</v>
      </c>
    </row>
    <row r="195" customFormat="false" ht="30" hidden="true" customHeight="true" outlineLevel="1" collapsed="false">
      <c r="A195" s="21" t="s">
        <v>27</v>
      </c>
      <c r="B195" s="21" t="s">
        <v>250</v>
      </c>
      <c r="C195" s="21" t="s">
        <v>251</v>
      </c>
      <c r="D195" s="21" t="s">
        <v>249</v>
      </c>
      <c r="E195" s="21" t="n">
        <v>0.025</v>
      </c>
      <c r="F195" s="21" t="s">
        <v>71</v>
      </c>
      <c r="G195" s="21" t="s">
        <v>169</v>
      </c>
      <c r="H195" s="21" t="s">
        <v>126</v>
      </c>
      <c r="I195" s="21" t="n">
        <v>0.025</v>
      </c>
      <c r="J195" s="21" t="n">
        <v>0</v>
      </c>
      <c r="K195" s="21" t="s">
        <v>241</v>
      </c>
    </row>
    <row r="196" customFormat="false" ht="30" hidden="true" customHeight="true" outlineLevel="1" collapsed="false">
      <c r="A196" s="21" t="s">
        <v>29</v>
      </c>
      <c r="B196" s="21" t="s">
        <v>252</v>
      </c>
      <c r="C196" s="21" t="s">
        <v>253</v>
      </c>
      <c r="D196" s="21" t="s">
        <v>254</v>
      </c>
      <c r="E196" s="21" t="n">
        <v>0</v>
      </c>
      <c r="F196" s="21" t="s">
        <v>71</v>
      </c>
      <c r="G196" s="21" t="s">
        <v>170</v>
      </c>
      <c r="H196" s="21" t="s">
        <v>126</v>
      </c>
      <c r="I196" s="21" t="n">
        <v>0</v>
      </c>
      <c r="K196" s="21" t="s">
        <v>241</v>
      </c>
    </row>
    <row r="197" customFormat="false" ht="30" hidden="true" customHeight="true" outlineLevel="1" collapsed="false">
      <c r="A197" s="21" t="s">
        <v>33</v>
      </c>
      <c r="B197" s="21" t="s">
        <v>252</v>
      </c>
      <c r="C197" s="21" t="s">
        <v>253</v>
      </c>
      <c r="D197" s="21" t="s">
        <v>89</v>
      </c>
      <c r="E197" s="21" t="n">
        <v>0</v>
      </c>
      <c r="F197" s="21" t="s">
        <v>71</v>
      </c>
      <c r="G197" s="21" t="s">
        <v>170</v>
      </c>
      <c r="H197" s="21" t="s">
        <v>126</v>
      </c>
      <c r="I197" s="21" t="n">
        <v>0</v>
      </c>
      <c r="K197" s="21" t="s">
        <v>241</v>
      </c>
    </row>
    <row r="198" customFormat="false" ht="30" hidden="true" customHeight="true" outlineLevel="1" collapsed="false">
      <c r="A198" s="21" t="s">
        <v>36</v>
      </c>
      <c r="B198" s="21" t="s">
        <v>252</v>
      </c>
      <c r="C198" s="21" t="s">
        <v>253</v>
      </c>
      <c r="D198" s="21" t="s">
        <v>255</v>
      </c>
      <c r="E198" s="21" t="n">
        <v>0</v>
      </c>
      <c r="F198" s="21" t="s">
        <v>71</v>
      </c>
      <c r="G198" s="21" t="s">
        <v>170</v>
      </c>
      <c r="H198" s="21" t="s">
        <v>126</v>
      </c>
      <c r="I198" s="21" t="n">
        <v>0</v>
      </c>
      <c r="K198" s="21" t="s">
        <v>241</v>
      </c>
    </row>
    <row r="199" customFormat="false" ht="30" hidden="true" customHeight="true" outlineLevel="1" collapsed="false">
      <c r="A199" s="21" t="s">
        <v>37</v>
      </c>
      <c r="B199" s="21" t="s">
        <v>252</v>
      </c>
      <c r="C199" s="21" t="s">
        <v>253</v>
      </c>
      <c r="D199" s="21" t="s">
        <v>254</v>
      </c>
      <c r="E199" s="21" t="n">
        <v>0</v>
      </c>
      <c r="F199" s="21" t="s">
        <v>71</v>
      </c>
      <c r="G199" s="21" t="s">
        <v>170</v>
      </c>
      <c r="H199" s="21" t="s">
        <v>126</v>
      </c>
      <c r="I199" s="21" t="n">
        <v>0</v>
      </c>
      <c r="K199" s="21" t="s">
        <v>241</v>
      </c>
    </row>
    <row r="202" customFormat="false" ht="15" hidden="false" customHeight="false" outlineLevel="0" collapsed="false">
      <c r="A202" s="2" t="s">
        <v>256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customFormat="false" ht="30" hidden="true" customHeight="true" outlineLevel="1" collapsed="false">
      <c r="A203" s="3" t="s">
        <v>59</v>
      </c>
      <c r="B203" s="3"/>
      <c r="C203" s="3"/>
      <c r="D203" s="3"/>
    </row>
    <row r="204" customFormat="false" ht="30" hidden="true" customHeight="true" outlineLevel="1" collapsed="false"/>
    <row r="205" customFormat="false" ht="30" hidden="true" customHeight="true" outlineLevel="1" collapsed="false">
      <c r="A205" s="4" t="s">
        <v>60</v>
      </c>
      <c r="B205" s="4" t="s">
        <v>61</v>
      </c>
      <c r="C205" s="4" t="s">
        <v>62</v>
      </c>
      <c r="D205" s="4" t="s">
        <v>63</v>
      </c>
    </row>
    <row r="206" customFormat="false" ht="30" hidden="true" customHeight="true" outlineLevel="1" collapsed="false">
      <c r="A206" s="11" t="s">
        <v>42</v>
      </c>
      <c r="B206" s="17" t="s">
        <v>64</v>
      </c>
      <c r="C206" s="5" t="s">
        <v>65</v>
      </c>
      <c r="D206" s="5" t="s">
        <v>66</v>
      </c>
    </row>
    <row r="207" customFormat="false" ht="30" hidden="true" customHeight="true" outlineLevel="1" collapsed="false">
      <c r="A207" s="11" t="s">
        <v>67</v>
      </c>
      <c r="B207" s="17" t="s">
        <v>171</v>
      </c>
      <c r="C207" s="5" t="s">
        <v>69</v>
      </c>
      <c r="D207" s="5" t="s">
        <v>70</v>
      </c>
    </row>
    <row r="208" customFormat="false" ht="30" hidden="true" customHeight="true" outlineLevel="1" collapsed="false">
      <c r="A208" s="11" t="s">
        <v>13</v>
      </c>
      <c r="B208" s="17" t="s">
        <v>172</v>
      </c>
      <c r="C208" s="5" t="s">
        <v>72</v>
      </c>
      <c r="D208" s="5" t="s">
        <v>73</v>
      </c>
    </row>
    <row r="209" customFormat="false" ht="30" hidden="true" customHeight="true" outlineLevel="1" collapsed="false">
      <c r="A209" s="11" t="s">
        <v>74</v>
      </c>
      <c r="B209" s="17" t="n">
        <v>3</v>
      </c>
      <c r="C209" s="5" t="s">
        <v>75</v>
      </c>
      <c r="D209" s="5" t="s">
        <v>76</v>
      </c>
    </row>
    <row r="210" customFormat="false" ht="30" hidden="true" customHeight="true" outlineLevel="1" collapsed="false">
      <c r="A210" s="11" t="s">
        <v>77</v>
      </c>
      <c r="B210" s="17" t="n">
        <v>20</v>
      </c>
      <c r="C210" s="5" t="s">
        <v>78</v>
      </c>
      <c r="D210" s="5" t="s">
        <v>79</v>
      </c>
    </row>
    <row r="211" customFormat="false" ht="30" hidden="true" customHeight="true" outlineLevel="1" collapsed="false">
      <c r="A211" s="11" t="s">
        <v>80</v>
      </c>
      <c r="B211" s="17" t="n">
        <v>20</v>
      </c>
      <c r="C211" s="5" t="s">
        <v>81</v>
      </c>
      <c r="D211" s="5" t="s">
        <v>82</v>
      </c>
    </row>
    <row r="212" customFormat="false" ht="30" hidden="true" customHeight="true" outlineLevel="1" collapsed="false">
      <c r="A212" s="11" t="s">
        <v>83</v>
      </c>
      <c r="B212" s="17" t="n">
        <v>10</v>
      </c>
      <c r="C212" s="5" t="s">
        <v>84</v>
      </c>
      <c r="D212" s="5" t="s">
        <v>85</v>
      </c>
    </row>
    <row r="213" customFormat="false" ht="30" hidden="true" customHeight="true" outlineLevel="1" collapsed="false">
      <c r="A213" s="11" t="s">
        <v>86</v>
      </c>
      <c r="B213" s="17" t="n">
        <v>0</v>
      </c>
      <c r="C213" s="5" t="s">
        <v>84</v>
      </c>
      <c r="D213" s="5" t="s">
        <v>87</v>
      </c>
    </row>
    <row r="214" customFormat="false" ht="30" hidden="true" customHeight="true" outlineLevel="1" collapsed="false">
      <c r="A214" s="11" t="s">
        <v>88</v>
      </c>
      <c r="B214" s="17" t="n">
        <v>0</v>
      </c>
      <c r="C214" s="5" t="s">
        <v>89</v>
      </c>
      <c r="D214" s="5" t="s">
        <v>90</v>
      </c>
    </row>
    <row r="215" customFormat="false" ht="30" hidden="true" customHeight="true" outlineLevel="1" collapsed="false">
      <c r="A215" s="11" t="s">
        <v>91</v>
      </c>
      <c r="B215" s="17" t="n">
        <v>0</v>
      </c>
      <c r="C215" s="5" t="s">
        <v>84</v>
      </c>
      <c r="D215" s="5" t="s">
        <v>92</v>
      </c>
    </row>
    <row r="216" customFormat="false" ht="30" hidden="true" customHeight="true" outlineLevel="1" collapsed="false">
      <c r="A216" s="11" t="s">
        <v>93</v>
      </c>
      <c r="B216" s="17" t="n">
        <v>1</v>
      </c>
      <c r="C216" s="5" t="s">
        <v>94</v>
      </c>
      <c r="D216" s="5" t="s">
        <v>95</v>
      </c>
    </row>
    <row r="217" customFormat="false" ht="30" hidden="true" customHeight="true" outlineLevel="1" collapsed="false">
      <c r="A217" s="11" t="s">
        <v>96</v>
      </c>
      <c r="B217" s="17" t="n">
        <v>95.56</v>
      </c>
      <c r="C217" s="5" t="s">
        <v>97</v>
      </c>
      <c r="D217" s="5" t="s">
        <v>98</v>
      </c>
    </row>
    <row r="218" customFormat="false" ht="30" hidden="true" customHeight="true" outlineLevel="1" collapsed="false">
      <c r="A218" s="11" t="s">
        <v>99</v>
      </c>
      <c r="B218" s="18" t="n">
        <v>0.1</v>
      </c>
      <c r="C218" s="5" t="s">
        <v>100</v>
      </c>
      <c r="D218" s="5" t="s">
        <v>101</v>
      </c>
    </row>
    <row r="219" customFormat="false" ht="30" hidden="true" customHeight="true" outlineLevel="1" collapsed="false">
      <c r="A219" s="11" t="s">
        <v>102</v>
      </c>
      <c r="B219" s="18" t="n">
        <v>0</v>
      </c>
      <c r="C219" s="5" t="s">
        <v>100</v>
      </c>
      <c r="D219" s="5" t="s">
        <v>103</v>
      </c>
    </row>
    <row r="220" customFormat="false" ht="30" hidden="true" customHeight="true" outlineLevel="1" collapsed="false">
      <c r="A220" s="11" t="s">
        <v>104</v>
      </c>
      <c r="B220" s="17" t="s">
        <v>105</v>
      </c>
      <c r="C220" s="5" t="s">
        <v>106</v>
      </c>
      <c r="D220" s="5" t="s">
        <v>107</v>
      </c>
    </row>
    <row r="221" customFormat="false" ht="30" hidden="true" customHeight="true" outlineLevel="1" collapsed="false">
      <c r="A221" s="11" t="s">
        <v>52</v>
      </c>
      <c r="B221" s="17" t="n">
        <v>7</v>
      </c>
      <c r="C221" s="5" t="s">
        <v>78</v>
      </c>
      <c r="D221" s="5" t="s">
        <v>108</v>
      </c>
    </row>
    <row r="222" customFormat="false" ht="30" hidden="true" customHeight="true" outlineLevel="1" collapsed="false">
      <c r="A222" s="11" t="s">
        <v>109</v>
      </c>
      <c r="B222" s="17" t="n">
        <v>32</v>
      </c>
      <c r="C222" s="5" t="s">
        <v>84</v>
      </c>
      <c r="D222" s="5" t="s">
        <v>110</v>
      </c>
    </row>
    <row r="223" customFormat="false" ht="41.25" hidden="true" customHeight="true" outlineLevel="1" collapsed="false">
      <c r="A223" s="11" t="s">
        <v>111</v>
      </c>
      <c r="B223" s="17" t="n">
        <f aca="false">IF(B225="Basic",B226,IF(B225="Standard",B227,B228))</f>
        <v>0</v>
      </c>
      <c r="C223" s="5" t="s">
        <v>112</v>
      </c>
      <c r="D223" s="5" t="s">
        <v>113</v>
      </c>
    </row>
    <row r="224" customFormat="false" ht="41.25" hidden="true" customHeight="true" outlineLevel="1" collapsed="false">
      <c r="A224" s="11" t="s">
        <v>114</v>
      </c>
      <c r="B224" s="17" t="n">
        <v>400</v>
      </c>
      <c r="C224" s="5" t="s">
        <v>115</v>
      </c>
      <c r="D224" s="5" t="s">
        <v>116</v>
      </c>
    </row>
    <row r="225" customFormat="false" ht="30" hidden="true" customHeight="true" outlineLevel="1" collapsed="false">
      <c r="A225" s="11" t="s">
        <v>117</v>
      </c>
      <c r="B225" s="17" t="str">
        <f aca="false">IF(AND(B220="Standard",B211*B210&gt;=B224),"Advanced",B220)</f>
        <v>Advanced</v>
      </c>
      <c r="C225" s="5" t="s">
        <v>118</v>
      </c>
      <c r="D225" s="5" t="s">
        <v>119</v>
      </c>
    </row>
    <row r="226" customFormat="false" ht="30" hidden="true" customHeight="true" outlineLevel="1" collapsed="false">
      <c r="A226" s="11" t="s">
        <v>120</v>
      </c>
      <c r="B226" s="17" t="n">
        <v>0</v>
      </c>
      <c r="C226" s="5" t="s">
        <v>112</v>
      </c>
      <c r="D226" s="5" t="s">
        <v>121</v>
      </c>
    </row>
    <row r="227" customFormat="false" ht="30" hidden="true" customHeight="true" outlineLevel="1" collapsed="false">
      <c r="A227" s="11" t="s">
        <v>122</v>
      </c>
      <c r="B227" s="17" t="n">
        <v>0</v>
      </c>
      <c r="C227" s="5" t="s">
        <v>112</v>
      </c>
      <c r="D227" s="5" t="s">
        <v>121</v>
      </c>
    </row>
    <row r="228" customFormat="false" ht="30" hidden="true" customHeight="true" outlineLevel="1" collapsed="false">
      <c r="A228" s="11" t="s">
        <v>123</v>
      </c>
      <c r="B228" s="17" t="n">
        <v>0</v>
      </c>
      <c r="C228" s="5" t="s">
        <v>112</v>
      </c>
      <c r="D228" s="5" t="s">
        <v>121</v>
      </c>
    </row>
    <row r="229" customFormat="false" ht="54.75" hidden="true" customHeight="true" outlineLevel="1" collapsed="false">
      <c r="A229" s="11" t="s">
        <v>124</v>
      </c>
      <c r="B229" s="17" t="s">
        <v>125</v>
      </c>
      <c r="C229" s="5" t="s">
        <v>257</v>
      </c>
      <c r="D229" s="5" t="s">
        <v>127</v>
      </c>
    </row>
    <row r="230" customFormat="false" ht="30" hidden="true" customHeight="true" outlineLevel="1" collapsed="false">
      <c r="A230" s="11" t="s">
        <v>128</v>
      </c>
      <c r="B230" s="17" t="s">
        <v>258</v>
      </c>
      <c r="C230" s="5" t="s">
        <v>130</v>
      </c>
      <c r="D230" s="5" t="s">
        <v>131</v>
      </c>
    </row>
    <row r="231" customFormat="false" ht="30" hidden="true" customHeight="true" outlineLevel="1" collapsed="false">
      <c r="A231" s="11" t="s">
        <v>132</v>
      </c>
      <c r="B231" s="17" t="s">
        <v>133</v>
      </c>
      <c r="C231" s="5" t="s">
        <v>134</v>
      </c>
      <c r="D231" s="5" t="s">
        <v>135</v>
      </c>
    </row>
    <row r="232" customFormat="false" ht="162" hidden="true" customHeight="true" outlineLevel="1" collapsed="false">
      <c r="A232" s="11" t="s">
        <v>136</v>
      </c>
      <c r="B232" s="17" t="s">
        <v>259</v>
      </c>
      <c r="C232" s="5" t="s">
        <v>138</v>
      </c>
      <c r="D232" s="5" t="s">
        <v>139</v>
      </c>
    </row>
    <row r="233" customFormat="false" ht="41.25" hidden="true" customHeight="true" outlineLevel="1" collapsed="false">
      <c r="A233" s="11" t="s">
        <v>140</v>
      </c>
      <c r="B233" s="17" t="s">
        <v>257</v>
      </c>
      <c r="C233" s="5" t="s">
        <v>141</v>
      </c>
      <c r="D233" s="5" t="s">
        <v>142</v>
      </c>
    </row>
    <row r="234" customFormat="false" ht="41.25" hidden="true" customHeight="true" outlineLevel="1" collapsed="false">
      <c r="A234" s="11" t="s">
        <v>143</v>
      </c>
      <c r="B234" s="17" t="s">
        <v>260</v>
      </c>
      <c r="C234" s="5" t="s">
        <v>141</v>
      </c>
      <c r="D234" s="5" t="s">
        <v>145</v>
      </c>
    </row>
    <row r="235" customFormat="false" ht="30" hidden="true" customHeight="true" outlineLevel="1" collapsed="false">
      <c r="A235" s="11" t="s">
        <v>146</v>
      </c>
      <c r="B235" s="17" t="n">
        <v>5</v>
      </c>
      <c r="C235" s="5" t="s">
        <v>100</v>
      </c>
      <c r="D235" s="5" t="s">
        <v>147</v>
      </c>
    </row>
    <row r="236" customFormat="false" ht="41.25" hidden="true" customHeight="true" outlineLevel="1" collapsed="false">
      <c r="A236" s="11" t="s">
        <v>148</v>
      </c>
      <c r="B236" s="17" t="s">
        <v>261</v>
      </c>
      <c r="C236" s="5" t="s">
        <v>150</v>
      </c>
      <c r="D236" s="5" t="s">
        <v>151</v>
      </c>
    </row>
    <row r="237" customFormat="false" ht="30" hidden="true" customHeight="true" outlineLevel="1" collapsed="false">
      <c r="A237" s="11" t="s">
        <v>152</v>
      </c>
      <c r="B237" s="17" t="s">
        <v>153</v>
      </c>
      <c r="C237" s="5" t="s">
        <v>134</v>
      </c>
      <c r="D237" s="5" t="s">
        <v>154</v>
      </c>
    </row>
    <row r="238" customFormat="false" ht="41.25" hidden="true" customHeight="true" outlineLevel="1" collapsed="false">
      <c r="A238" s="11" t="s">
        <v>155</v>
      </c>
      <c r="B238" s="17" t="s">
        <v>156</v>
      </c>
      <c r="C238" s="5" t="s">
        <v>134</v>
      </c>
      <c r="D238" s="5" t="s">
        <v>157</v>
      </c>
    </row>
    <row r="239" customFormat="false" ht="54.75" hidden="true" customHeight="true" outlineLevel="1" collapsed="false">
      <c r="A239" s="11" t="s">
        <v>158</v>
      </c>
      <c r="B239" s="17" t="s">
        <v>159</v>
      </c>
      <c r="C239" s="5" t="s">
        <v>134</v>
      </c>
      <c r="D239" s="5" t="s">
        <v>160</v>
      </c>
    </row>
    <row r="242" customFormat="false" ht="15" hidden="false" customHeight="false" outlineLevel="0" collapsed="false">
      <c r="A242" s="2" t="s">
        <v>262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customFormat="false" ht="30" hidden="true" customHeight="true" outlineLevel="1" collapsed="false">
      <c r="A243" s="3" t="s">
        <v>162</v>
      </c>
      <c r="B243" s="3"/>
      <c r="C243" s="3"/>
      <c r="D243" s="3"/>
      <c r="E243" s="3"/>
      <c r="F243" s="3"/>
      <c r="G243" s="3"/>
      <c r="H243" s="3"/>
    </row>
    <row r="244" customFormat="false" ht="30" hidden="true" customHeight="true" outlineLevel="1" collapsed="false"/>
    <row r="245" customFormat="false" ht="30" hidden="true" customHeight="true" outlineLevel="1" collapsed="false">
      <c r="A245" s="4" t="s">
        <v>12</v>
      </c>
      <c r="B245" s="4" t="s">
        <v>13</v>
      </c>
      <c r="C245" s="4" t="s">
        <v>4</v>
      </c>
      <c r="D245" s="4" t="s">
        <v>6</v>
      </c>
      <c r="E245" s="4" t="s">
        <v>163</v>
      </c>
      <c r="F245" s="4" t="s">
        <v>164</v>
      </c>
      <c r="G245" s="4" t="s">
        <v>165</v>
      </c>
      <c r="H245" s="4" t="s">
        <v>166</v>
      </c>
    </row>
    <row r="246" customFormat="false" ht="30" hidden="true" customHeight="true" outlineLevel="1" collapsed="false">
      <c r="A246" s="5" t="s">
        <v>68</v>
      </c>
      <c r="B246" s="5" t="s">
        <v>71</v>
      </c>
      <c r="C246" s="5" t="s">
        <v>167</v>
      </c>
      <c r="D246" s="5" t="s">
        <v>15</v>
      </c>
      <c r="G246" s="5" t="s">
        <v>263</v>
      </c>
      <c r="H246" s="20" t="s">
        <v>174</v>
      </c>
    </row>
    <row r="247" customFormat="false" ht="30" hidden="true" customHeight="true" outlineLevel="1" collapsed="false">
      <c r="A247" s="5" t="s">
        <v>68</v>
      </c>
      <c r="B247" s="5" t="s">
        <v>71</v>
      </c>
      <c r="C247" s="5" t="s">
        <v>18</v>
      </c>
      <c r="D247" s="5" t="s">
        <v>19</v>
      </c>
      <c r="G247" s="5" t="s">
        <v>264</v>
      </c>
      <c r="H247" s="20" t="s">
        <v>174</v>
      </c>
    </row>
    <row r="248" customFormat="false" ht="30" hidden="true" customHeight="true" outlineLevel="1" collapsed="false">
      <c r="A248" s="5" t="s">
        <v>68</v>
      </c>
      <c r="B248" s="5" t="s">
        <v>71</v>
      </c>
      <c r="C248" s="5" t="s">
        <v>21</v>
      </c>
      <c r="D248" s="5" t="s">
        <v>22</v>
      </c>
      <c r="G248" s="5" t="s">
        <v>263</v>
      </c>
      <c r="H248" s="20" t="s">
        <v>174</v>
      </c>
    </row>
    <row r="249" customFormat="false" ht="30" hidden="true" customHeight="true" outlineLevel="1" collapsed="false">
      <c r="A249" s="5" t="s">
        <v>68</v>
      </c>
      <c r="B249" s="5" t="s">
        <v>71</v>
      </c>
      <c r="C249" s="5" t="s">
        <v>23</v>
      </c>
      <c r="D249" s="5" t="s">
        <v>24</v>
      </c>
      <c r="G249" s="5" t="s">
        <v>265</v>
      </c>
      <c r="H249" s="20" t="s">
        <v>174</v>
      </c>
    </row>
    <row r="250" customFormat="false" ht="30" hidden="true" customHeight="true" outlineLevel="1" collapsed="false">
      <c r="A250" s="5" t="s">
        <v>68</v>
      </c>
      <c r="B250" s="5" t="s">
        <v>71</v>
      </c>
      <c r="C250" s="5" t="s">
        <v>27</v>
      </c>
      <c r="D250" s="5" t="s">
        <v>24</v>
      </c>
      <c r="G250" s="5" t="s">
        <v>266</v>
      </c>
      <c r="H250" s="20" t="s">
        <v>174</v>
      </c>
    </row>
    <row r="251" customFormat="false" ht="30" hidden="true" customHeight="true" outlineLevel="1" collapsed="false">
      <c r="A251" s="5" t="s">
        <v>68</v>
      </c>
      <c r="B251" s="5" t="s">
        <v>71</v>
      </c>
      <c r="C251" s="5" t="s">
        <v>29</v>
      </c>
      <c r="D251" s="5" t="s">
        <v>30</v>
      </c>
      <c r="G251" s="5" t="s">
        <v>267</v>
      </c>
      <c r="H251" s="20" t="s">
        <v>174</v>
      </c>
    </row>
    <row r="252" customFormat="false" ht="30" hidden="true" customHeight="true" outlineLevel="1" collapsed="false">
      <c r="A252" s="5" t="s">
        <v>68</v>
      </c>
      <c r="B252" s="5" t="s">
        <v>71</v>
      </c>
      <c r="C252" s="5" t="s">
        <v>33</v>
      </c>
      <c r="D252" s="5" t="s">
        <v>34</v>
      </c>
      <c r="G252" s="5" t="s">
        <v>268</v>
      </c>
      <c r="H252" s="20" t="s">
        <v>174</v>
      </c>
    </row>
    <row r="253" customFormat="false" ht="30" hidden="true" customHeight="true" outlineLevel="1" collapsed="false">
      <c r="A253" s="5" t="s">
        <v>68</v>
      </c>
      <c r="B253" s="5" t="s">
        <v>71</v>
      </c>
      <c r="C253" s="5" t="s">
        <v>36</v>
      </c>
      <c r="D253" s="5" t="s">
        <v>15</v>
      </c>
      <c r="G253" s="5" t="s">
        <v>269</v>
      </c>
      <c r="H253" s="20" t="s">
        <v>174</v>
      </c>
    </row>
    <row r="254" customFormat="false" ht="30" hidden="true" customHeight="true" outlineLevel="1" collapsed="false">
      <c r="A254" s="5" t="s">
        <v>68</v>
      </c>
      <c r="B254" s="5" t="s">
        <v>71</v>
      </c>
      <c r="C254" s="5" t="s">
        <v>37</v>
      </c>
      <c r="D254" s="5" t="s">
        <v>30</v>
      </c>
      <c r="G254" s="5" t="s">
        <v>270</v>
      </c>
      <c r="H254" s="20" t="s">
        <v>174</v>
      </c>
    </row>
    <row r="255" customFormat="false" ht="68.25" hidden="true" customHeight="true" outlineLevel="1" collapsed="false">
      <c r="A255" s="5" t="s">
        <v>171</v>
      </c>
      <c r="B255" s="5" t="s">
        <v>172</v>
      </c>
      <c r="C255" s="5" t="s">
        <v>167</v>
      </c>
      <c r="D255" s="5" t="s">
        <v>15</v>
      </c>
      <c r="E255" s="19" t="n">
        <v>0.0448</v>
      </c>
      <c r="F255" s="6" t="n">
        <f aca="false">E255*$B$217</f>
        <v>4.281088</v>
      </c>
      <c r="G255" s="5" t="s">
        <v>259</v>
      </c>
      <c r="H255" s="20" t="s">
        <v>257</v>
      </c>
    </row>
    <row r="256" customFormat="false" ht="68.25" hidden="true" customHeight="true" outlineLevel="1" collapsed="false">
      <c r="A256" s="5" t="s">
        <v>171</v>
      </c>
      <c r="B256" s="5" t="s">
        <v>172</v>
      </c>
      <c r="C256" s="5" t="s">
        <v>18</v>
      </c>
      <c r="D256" s="5" t="s">
        <v>19</v>
      </c>
      <c r="E256" s="19" t="n">
        <v>0.1</v>
      </c>
      <c r="F256" s="6" t="n">
        <f aca="false">E256*$B$217</f>
        <v>9.556</v>
      </c>
      <c r="G256" s="5" t="s">
        <v>271</v>
      </c>
      <c r="H256" s="20" t="s">
        <v>257</v>
      </c>
    </row>
    <row r="257" customFormat="false" ht="68.25" hidden="true" customHeight="true" outlineLevel="1" collapsed="false">
      <c r="A257" s="5" t="s">
        <v>171</v>
      </c>
      <c r="B257" s="5" t="s">
        <v>172</v>
      </c>
      <c r="C257" s="5" t="s">
        <v>21</v>
      </c>
      <c r="D257" s="5" t="s">
        <v>22</v>
      </c>
      <c r="E257" s="19" t="n">
        <v>0.202</v>
      </c>
      <c r="F257" s="6" t="n">
        <f aca="false">E257*$B$217</f>
        <v>19.30312</v>
      </c>
      <c r="G257" s="5" t="s">
        <v>272</v>
      </c>
      <c r="H257" s="20" t="s">
        <v>257</v>
      </c>
    </row>
    <row r="258" customFormat="false" ht="68.25" hidden="true" customHeight="true" outlineLevel="1" collapsed="false">
      <c r="A258" s="5" t="s">
        <v>171</v>
      </c>
      <c r="B258" s="5" t="s">
        <v>172</v>
      </c>
      <c r="C258" s="5" t="s">
        <v>23</v>
      </c>
      <c r="D258" s="5" t="s">
        <v>24</v>
      </c>
      <c r="E258" s="19" t="n">
        <v>0.164984375</v>
      </c>
      <c r="F258" s="6" t="n">
        <f aca="false">E258*$B$217</f>
        <v>15.765906875</v>
      </c>
      <c r="G258" s="5" t="s">
        <v>273</v>
      </c>
      <c r="H258" s="20" t="s">
        <v>257</v>
      </c>
    </row>
    <row r="259" customFormat="false" ht="68.25" hidden="true" customHeight="true" outlineLevel="1" collapsed="false">
      <c r="A259" s="5" t="s">
        <v>171</v>
      </c>
      <c r="B259" s="5" t="s">
        <v>172</v>
      </c>
      <c r="C259" s="5" t="s">
        <v>27</v>
      </c>
      <c r="D259" s="5" t="s">
        <v>24</v>
      </c>
      <c r="E259" s="19" t="n">
        <v>0.21</v>
      </c>
      <c r="F259" s="6" t="n">
        <f aca="false">E259*$B$217</f>
        <v>20.0676</v>
      </c>
      <c r="G259" s="5" t="s">
        <v>274</v>
      </c>
      <c r="H259" s="20" t="s">
        <v>257</v>
      </c>
    </row>
    <row r="260" customFormat="false" ht="41.25" hidden="true" customHeight="true" outlineLevel="1" collapsed="false">
      <c r="A260" s="5" t="s">
        <v>171</v>
      </c>
      <c r="B260" s="5" t="s">
        <v>172</v>
      </c>
      <c r="C260" s="5" t="s">
        <v>29</v>
      </c>
      <c r="D260" s="5" t="s">
        <v>30</v>
      </c>
      <c r="E260" s="19" t="n">
        <v>0</v>
      </c>
      <c r="F260" s="6" t="n">
        <f aca="false">E260*$B$217</f>
        <v>0</v>
      </c>
      <c r="G260" s="5" t="s">
        <v>275</v>
      </c>
      <c r="H260" s="20" t="s">
        <v>257</v>
      </c>
    </row>
    <row r="261" customFormat="false" ht="41.25" hidden="true" customHeight="true" outlineLevel="1" collapsed="false">
      <c r="A261" s="5" t="s">
        <v>171</v>
      </c>
      <c r="B261" s="5" t="s">
        <v>172</v>
      </c>
      <c r="C261" s="5" t="s">
        <v>33</v>
      </c>
      <c r="D261" s="5" t="s">
        <v>34</v>
      </c>
      <c r="E261" s="19" t="n">
        <v>0</v>
      </c>
      <c r="F261" s="6" t="n">
        <f aca="false">E261*$B$217</f>
        <v>0</v>
      </c>
      <c r="G261" s="5" t="s">
        <v>275</v>
      </c>
      <c r="H261" s="20" t="s">
        <v>257</v>
      </c>
    </row>
    <row r="262" customFormat="false" ht="41.25" hidden="true" customHeight="true" outlineLevel="1" collapsed="false">
      <c r="A262" s="5" t="s">
        <v>171</v>
      </c>
      <c r="B262" s="5" t="s">
        <v>172</v>
      </c>
      <c r="C262" s="5" t="s">
        <v>36</v>
      </c>
      <c r="D262" s="5" t="s">
        <v>15</v>
      </c>
      <c r="E262" s="19" t="n">
        <v>0</v>
      </c>
      <c r="F262" s="6" t="n">
        <f aca="false">E262*$B$217</f>
        <v>0</v>
      </c>
      <c r="G262" s="5" t="s">
        <v>275</v>
      </c>
      <c r="H262" s="20" t="s">
        <v>257</v>
      </c>
    </row>
    <row r="263" customFormat="false" ht="41.25" hidden="true" customHeight="true" outlineLevel="1" collapsed="false">
      <c r="A263" s="5" t="s">
        <v>171</v>
      </c>
      <c r="B263" s="5" t="s">
        <v>172</v>
      </c>
      <c r="C263" s="5" t="s">
        <v>37</v>
      </c>
      <c r="D263" s="5" t="s">
        <v>30</v>
      </c>
      <c r="E263" s="19" t="n">
        <v>0</v>
      </c>
      <c r="F263" s="6" t="n">
        <f aca="false">E263*$B$217</f>
        <v>0</v>
      </c>
      <c r="G263" s="5" t="s">
        <v>275</v>
      </c>
      <c r="H263" s="20" t="s">
        <v>257</v>
      </c>
    </row>
    <row r="264" customFormat="false" ht="30" hidden="true" customHeight="true" outlineLevel="1" collapsed="false">
      <c r="A264" s="5" t="s">
        <v>182</v>
      </c>
      <c r="B264" s="5" t="s">
        <v>183</v>
      </c>
      <c r="C264" s="5" t="s">
        <v>167</v>
      </c>
      <c r="D264" s="5" t="s">
        <v>15</v>
      </c>
      <c r="G264" s="5" t="s">
        <v>184</v>
      </c>
      <c r="H264" s="20" t="s">
        <v>174</v>
      </c>
    </row>
    <row r="265" customFormat="false" ht="30" hidden="true" customHeight="true" outlineLevel="1" collapsed="false">
      <c r="A265" s="5" t="s">
        <v>182</v>
      </c>
      <c r="B265" s="5" t="s">
        <v>183</v>
      </c>
      <c r="C265" s="5" t="s">
        <v>18</v>
      </c>
      <c r="D265" s="5" t="s">
        <v>19</v>
      </c>
      <c r="G265" s="5" t="s">
        <v>185</v>
      </c>
      <c r="H265" s="20" t="s">
        <v>174</v>
      </c>
    </row>
    <row r="266" customFormat="false" ht="30" hidden="true" customHeight="true" outlineLevel="1" collapsed="false">
      <c r="A266" s="5" t="s">
        <v>182</v>
      </c>
      <c r="B266" s="5" t="s">
        <v>183</v>
      </c>
      <c r="C266" s="5" t="s">
        <v>21</v>
      </c>
      <c r="D266" s="5" t="s">
        <v>22</v>
      </c>
      <c r="G266" s="5" t="s">
        <v>184</v>
      </c>
      <c r="H266" s="20" t="s">
        <v>174</v>
      </c>
    </row>
    <row r="267" customFormat="false" ht="30" hidden="true" customHeight="true" outlineLevel="1" collapsed="false">
      <c r="A267" s="5" t="s">
        <v>182</v>
      </c>
      <c r="B267" s="5" t="s">
        <v>183</v>
      </c>
      <c r="C267" s="5" t="s">
        <v>23</v>
      </c>
      <c r="D267" s="5" t="s">
        <v>24</v>
      </c>
      <c r="G267" s="5" t="s">
        <v>186</v>
      </c>
      <c r="H267" s="20" t="s">
        <v>174</v>
      </c>
    </row>
    <row r="268" customFormat="false" ht="30" hidden="true" customHeight="true" outlineLevel="1" collapsed="false">
      <c r="A268" s="5" t="s">
        <v>182</v>
      </c>
      <c r="B268" s="5" t="s">
        <v>183</v>
      </c>
      <c r="C268" s="5" t="s">
        <v>27</v>
      </c>
      <c r="D268" s="5" t="s">
        <v>24</v>
      </c>
      <c r="G268" s="5" t="s">
        <v>187</v>
      </c>
      <c r="H268" s="20" t="s">
        <v>174</v>
      </c>
    </row>
    <row r="269" customFormat="false" ht="30" hidden="true" customHeight="true" outlineLevel="1" collapsed="false">
      <c r="A269" s="5" t="s">
        <v>182</v>
      </c>
      <c r="B269" s="5" t="s">
        <v>183</v>
      </c>
      <c r="C269" s="5" t="s">
        <v>29</v>
      </c>
      <c r="D269" s="5" t="s">
        <v>30</v>
      </c>
      <c r="G269" s="5" t="s">
        <v>188</v>
      </c>
      <c r="H269" s="20" t="s">
        <v>174</v>
      </c>
    </row>
    <row r="270" customFormat="false" ht="30" hidden="true" customHeight="true" outlineLevel="1" collapsed="false">
      <c r="A270" s="5" t="s">
        <v>182</v>
      </c>
      <c r="B270" s="5" t="s">
        <v>183</v>
      </c>
      <c r="C270" s="5" t="s">
        <v>33</v>
      </c>
      <c r="D270" s="5" t="s">
        <v>34</v>
      </c>
      <c r="G270" s="5" t="s">
        <v>189</v>
      </c>
      <c r="H270" s="20" t="s">
        <v>174</v>
      </c>
    </row>
    <row r="271" customFormat="false" ht="30" hidden="true" customHeight="true" outlineLevel="1" collapsed="false">
      <c r="A271" s="5" t="s">
        <v>182</v>
      </c>
      <c r="B271" s="5" t="s">
        <v>183</v>
      </c>
      <c r="C271" s="5" t="s">
        <v>36</v>
      </c>
      <c r="D271" s="5" t="s">
        <v>15</v>
      </c>
      <c r="G271" s="5" t="s">
        <v>190</v>
      </c>
      <c r="H271" s="20" t="s">
        <v>174</v>
      </c>
    </row>
    <row r="272" customFormat="false" ht="30" hidden="true" customHeight="true" outlineLevel="1" collapsed="false">
      <c r="A272" s="5" t="s">
        <v>182</v>
      </c>
      <c r="B272" s="5" t="s">
        <v>183</v>
      </c>
      <c r="C272" s="5" t="s">
        <v>37</v>
      </c>
      <c r="D272" s="5" t="s">
        <v>30</v>
      </c>
      <c r="G272" s="5" t="s">
        <v>191</v>
      </c>
      <c r="H272" s="20" t="s">
        <v>174</v>
      </c>
    </row>
    <row r="273" customFormat="false" ht="68.25" hidden="true" customHeight="true" outlineLevel="1" collapsed="false">
      <c r="A273" s="5" t="s">
        <v>171</v>
      </c>
      <c r="B273" s="5" t="s">
        <v>172</v>
      </c>
      <c r="C273" s="5" t="s">
        <v>192</v>
      </c>
      <c r="D273" s="5" t="s">
        <v>15</v>
      </c>
      <c r="E273" s="19" t="n">
        <v>0.0448</v>
      </c>
      <c r="F273" s="6" t="n">
        <f aca="false">E273*$B$217</f>
        <v>4.281088</v>
      </c>
      <c r="G273" s="5" t="s">
        <v>259</v>
      </c>
      <c r="H273" s="20" t="s">
        <v>257</v>
      </c>
    </row>
    <row r="274" customFormat="false" ht="68.25" hidden="true" customHeight="true" outlineLevel="1" collapsed="false">
      <c r="A274" s="5" t="s">
        <v>171</v>
      </c>
      <c r="B274" s="5" t="s">
        <v>172</v>
      </c>
      <c r="C274" s="5" t="s">
        <v>193</v>
      </c>
      <c r="D274" s="5" t="s">
        <v>15</v>
      </c>
      <c r="E274" s="19" t="n">
        <v>0.202</v>
      </c>
      <c r="F274" s="6" t="n">
        <f aca="false">E274*$B$217</f>
        <v>19.30312</v>
      </c>
      <c r="G274" s="5" t="s">
        <v>272</v>
      </c>
      <c r="H274" s="20" t="s">
        <v>257</v>
      </c>
    </row>
    <row r="277" customFormat="false" ht="15" hidden="false" customHeight="false" outlineLevel="0" collapsed="false">
      <c r="A277" s="2" t="s">
        <v>276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customFormat="false" ht="30" hidden="true" customHeight="true" outlineLevel="1" collapsed="false">
      <c r="A278" s="3" t="s">
        <v>195</v>
      </c>
      <c r="B278" s="3"/>
      <c r="C278" s="3"/>
      <c r="D278" s="3"/>
      <c r="E278" s="3"/>
      <c r="F278" s="3"/>
      <c r="G278" s="3"/>
      <c r="H278" s="3"/>
    </row>
    <row r="279" customFormat="false" ht="30" hidden="true" customHeight="true" outlineLevel="1" collapsed="false"/>
    <row r="280" customFormat="false" ht="30" hidden="true" customHeight="true" outlineLevel="1" collapsed="false">
      <c r="A280" s="4" t="s">
        <v>196</v>
      </c>
      <c r="B280" s="4" t="s">
        <v>197</v>
      </c>
      <c r="C280" s="4" t="s">
        <v>198</v>
      </c>
      <c r="D280" s="4" t="s">
        <v>199</v>
      </c>
      <c r="E280" s="4" t="s">
        <v>200</v>
      </c>
      <c r="F280" s="4" t="s">
        <v>201</v>
      </c>
      <c r="G280" s="4" t="s">
        <v>202</v>
      </c>
      <c r="H280" s="4" t="s">
        <v>203</v>
      </c>
      <c r="I280" s="4" t="s">
        <v>204</v>
      </c>
    </row>
    <row r="281" customFormat="false" ht="30" hidden="true" customHeight="true" outlineLevel="1" collapsed="false">
      <c r="A281" s="21" t="n">
        <v>1</v>
      </c>
      <c r="B281" s="21" t="s">
        <v>205</v>
      </c>
      <c r="C281" s="21" t="n">
        <v>20</v>
      </c>
      <c r="D281" s="21" t="s">
        <v>206</v>
      </c>
      <c r="E281" s="21" t="n">
        <v>0</v>
      </c>
      <c r="F281" s="21" t="n">
        <v>0</v>
      </c>
      <c r="G281" s="21" t="n">
        <v>0</v>
      </c>
      <c r="H281" s="21" t="n">
        <v>0</v>
      </c>
      <c r="I281" s="21" t="n">
        <v>1</v>
      </c>
    </row>
    <row r="282" customFormat="false" ht="30" hidden="true" customHeight="true" outlineLevel="1" collapsed="false">
      <c r="A282" s="21" t="n">
        <v>2</v>
      </c>
      <c r="B282" s="21" t="s">
        <v>207</v>
      </c>
      <c r="C282" s="21" t="n">
        <v>20</v>
      </c>
      <c r="D282" s="21" t="s">
        <v>208</v>
      </c>
      <c r="E282" s="21" t="n">
        <v>0</v>
      </c>
      <c r="F282" s="21" t="n">
        <v>0</v>
      </c>
      <c r="G282" s="21" t="n">
        <v>0</v>
      </c>
      <c r="H282" s="21" t="n">
        <v>0</v>
      </c>
      <c r="I282" s="21" t="n">
        <v>1</v>
      </c>
    </row>
    <row r="283" customFormat="false" ht="30" hidden="true" customHeight="true" outlineLevel="1" collapsed="false">
      <c r="A283" s="21" t="n">
        <v>3</v>
      </c>
      <c r="B283" s="21" t="s">
        <v>209</v>
      </c>
      <c r="C283" s="21" t="n">
        <v>20</v>
      </c>
      <c r="D283" s="21" t="s">
        <v>208</v>
      </c>
      <c r="E283" s="21" t="n">
        <v>0</v>
      </c>
      <c r="F283" s="21" t="n">
        <v>0</v>
      </c>
      <c r="G283" s="21" t="n">
        <v>0</v>
      </c>
      <c r="H283" s="21" t="n">
        <v>0</v>
      </c>
      <c r="I283" s="21" t="n">
        <v>1</v>
      </c>
    </row>
    <row r="284" customFormat="false" ht="30" hidden="true" customHeight="true" outlineLevel="1" collapsed="false">
      <c r="A284" s="21" t="n">
        <v>4</v>
      </c>
      <c r="B284" s="21" t="s">
        <v>210</v>
      </c>
      <c r="C284" s="21" t="n">
        <v>20</v>
      </c>
      <c r="D284" s="21" t="s">
        <v>208</v>
      </c>
      <c r="E284" s="21" t="n">
        <v>0</v>
      </c>
      <c r="F284" s="21" t="n">
        <v>0</v>
      </c>
      <c r="G284" s="21" t="n">
        <v>0</v>
      </c>
      <c r="H284" s="21" t="n">
        <v>0</v>
      </c>
      <c r="I284" s="21" t="n">
        <v>1</v>
      </c>
    </row>
    <row r="285" customFormat="false" ht="30" hidden="true" customHeight="true" outlineLevel="1" collapsed="false">
      <c r="A285" s="21" t="n">
        <v>5</v>
      </c>
      <c r="B285" s="21" t="s">
        <v>211</v>
      </c>
      <c r="C285" s="21" t="n">
        <v>20</v>
      </c>
      <c r="D285" s="21" t="s">
        <v>208</v>
      </c>
      <c r="E285" s="21" t="n">
        <v>0</v>
      </c>
      <c r="F285" s="21" t="n">
        <v>0</v>
      </c>
      <c r="G285" s="21" t="n">
        <v>0</v>
      </c>
      <c r="H285" s="21" t="n">
        <v>0</v>
      </c>
      <c r="I285" s="21" t="n">
        <v>1</v>
      </c>
    </row>
    <row r="286" customFormat="false" ht="30" hidden="true" customHeight="true" outlineLevel="1" collapsed="false">
      <c r="A286" s="21" t="n">
        <v>6</v>
      </c>
      <c r="B286" s="21" t="s">
        <v>212</v>
      </c>
      <c r="C286" s="21" t="n">
        <v>20</v>
      </c>
      <c r="D286" s="21" t="s">
        <v>208</v>
      </c>
      <c r="E286" s="21" t="n">
        <v>0</v>
      </c>
      <c r="F286" s="21" t="n">
        <v>0</v>
      </c>
      <c r="G286" s="21" t="n">
        <v>0</v>
      </c>
      <c r="H286" s="21" t="n">
        <v>0</v>
      </c>
      <c r="I286" s="21" t="n">
        <v>1</v>
      </c>
    </row>
    <row r="287" customFormat="false" ht="30" hidden="true" customHeight="true" outlineLevel="1" collapsed="false">
      <c r="A287" s="21" t="n">
        <v>7</v>
      </c>
      <c r="B287" s="21" t="s">
        <v>213</v>
      </c>
      <c r="C287" s="21" t="n">
        <v>20</v>
      </c>
      <c r="D287" s="21" t="s">
        <v>206</v>
      </c>
      <c r="E287" s="21" t="n">
        <v>0</v>
      </c>
      <c r="F287" s="21" t="n">
        <v>0</v>
      </c>
      <c r="G287" s="21" t="n">
        <v>0</v>
      </c>
      <c r="H287" s="21" t="n">
        <v>0</v>
      </c>
      <c r="I287" s="21" t="n">
        <v>1</v>
      </c>
    </row>
    <row r="288" customFormat="false" ht="30" hidden="true" customHeight="true" outlineLevel="1" collapsed="false">
      <c r="A288" s="21" t="n">
        <v>8</v>
      </c>
      <c r="B288" s="21" t="s">
        <v>214</v>
      </c>
      <c r="C288" s="21" t="n">
        <v>20</v>
      </c>
      <c r="D288" s="21" t="s">
        <v>206</v>
      </c>
      <c r="E288" s="21" t="n">
        <v>0</v>
      </c>
      <c r="F288" s="21" t="n">
        <v>0</v>
      </c>
      <c r="G288" s="21" t="n">
        <v>0</v>
      </c>
      <c r="H288" s="21" t="n">
        <v>0</v>
      </c>
      <c r="I288" s="21" t="n">
        <v>1</v>
      </c>
    </row>
    <row r="289" customFormat="false" ht="30" hidden="true" customHeight="true" outlineLevel="1" collapsed="false">
      <c r="A289" s="21" t="n">
        <v>9</v>
      </c>
      <c r="B289" s="21" t="s">
        <v>215</v>
      </c>
      <c r="C289" s="21" t="n">
        <v>20</v>
      </c>
      <c r="D289" s="21" t="s">
        <v>208</v>
      </c>
      <c r="E289" s="21" t="n">
        <v>0</v>
      </c>
      <c r="F289" s="21" t="n">
        <v>0</v>
      </c>
      <c r="G289" s="21" t="n">
        <v>0</v>
      </c>
      <c r="H289" s="21" t="n">
        <v>0</v>
      </c>
      <c r="I289" s="21" t="n">
        <v>1</v>
      </c>
    </row>
    <row r="290" customFormat="false" ht="30" hidden="true" customHeight="true" outlineLevel="1" collapsed="false">
      <c r="A290" s="21" t="n">
        <v>10</v>
      </c>
      <c r="B290" s="21" t="s">
        <v>216</v>
      </c>
      <c r="C290" s="21" t="n">
        <v>20</v>
      </c>
      <c r="D290" s="21" t="s">
        <v>206</v>
      </c>
      <c r="E290" s="21" t="n">
        <v>0</v>
      </c>
      <c r="F290" s="21" t="n">
        <v>0</v>
      </c>
      <c r="G290" s="21" t="n">
        <v>0</v>
      </c>
      <c r="H290" s="21" t="n">
        <v>0</v>
      </c>
      <c r="I290" s="21" t="n">
        <v>1</v>
      </c>
    </row>
    <row r="291" customFormat="false" ht="30" hidden="true" customHeight="true" outlineLevel="1" collapsed="false">
      <c r="A291" s="21" t="n">
        <v>11</v>
      </c>
      <c r="B291" s="21" t="s">
        <v>217</v>
      </c>
      <c r="C291" s="21" t="n">
        <v>20</v>
      </c>
      <c r="D291" s="21" t="s">
        <v>206</v>
      </c>
      <c r="E291" s="21" t="n">
        <v>0</v>
      </c>
      <c r="F291" s="21" t="n">
        <v>0</v>
      </c>
      <c r="G291" s="21" t="n">
        <v>0</v>
      </c>
      <c r="H291" s="21" t="n">
        <v>0</v>
      </c>
      <c r="I291" s="21" t="n">
        <v>1</v>
      </c>
    </row>
    <row r="292" customFormat="false" ht="30" hidden="true" customHeight="true" outlineLevel="1" collapsed="false">
      <c r="A292" s="21" t="n">
        <v>12</v>
      </c>
      <c r="B292" s="21" t="s">
        <v>218</v>
      </c>
      <c r="C292" s="21" t="n">
        <v>20</v>
      </c>
      <c r="D292" s="21" t="s">
        <v>206</v>
      </c>
      <c r="E292" s="21" t="n">
        <v>0</v>
      </c>
      <c r="F292" s="21" t="n">
        <v>0</v>
      </c>
      <c r="G292" s="21" t="n">
        <v>0</v>
      </c>
      <c r="H292" s="21" t="n">
        <v>0</v>
      </c>
      <c r="I292" s="21" t="n">
        <v>1</v>
      </c>
    </row>
    <row r="293" customFormat="false" ht="30" hidden="true" customHeight="true" outlineLevel="1" collapsed="false">
      <c r="A293" s="21" t="n">
        <v>13</v>
      </c>
      <c r="B293" s="21" t="s">
        <v>219</v>
      </c>
      <c r="C293" s="21" t="n">
        <v>20</v>
      </c>
      <c r="D293" s="21" t="s">
        <v>206</v>
      </c>
      <c r="E293" s="21" t="n">
        <v>0</v>
      </c>
      <c r="F293" s="21" t="n">
        <v>0</v>
      </c>
      <c r="G293" s="21" t="n">
        <v>0</v>
      </c>
      <c r="H293" s="21" t="n">
        <v>0</v>
      </c>
      <c r="I293" s="21" t="n">
        <v>1</v>
      </c>
    </row>
    <row r="294" customFormat="false" ht="30" hidden="true" customHeight="true" outlineLevel="1" collapsed="false">
      <c r="A294" s="21" t="n">
        <v>14</v>
      </c>
      <c r="B294" s="21" t="s">
        <v>220</v>
      </c>
      <c r="C294" s="21" t="n">
        <v>20</v>
      </c>
      <c r="D294" s="21" t="s">
        <v>206</v>
      </c>
      <c r="E294" s="21" t="n">
        <v>0</v>
      </c>
      <c r="F294" s="21" t="n">
        <v>0</v>
      </c>
      <c r="G294" s="21" t="n">
        <v>0</v>
      </c>
      <c r="H294" s="21" t="n">
        <v>0</v>
      </c>
      <c r="I294" s="21" t="n">
        <v>1</v>
      </c>
    </row>
    <row r="295" customFormat="false" ht="30" hidden="true" customHeight="true" outlineLevel="1" collapsed="false">
      <c r="A295" s="21" t="n">
        <v>15</v>
      </c>
      <c r="B295" s="21" t="s">
        <v>221</v>
      </c>
      <c r="C295" s="21" t="n">
        <v>20</v>
      </c>
      <c r="D295" s="21" t="s">
        <v>206</v>
      </c>
      <c r="E295" s="21" t="n">
        <v>0</v>
      </c>
      <c r="F295" s="21" t="n">
        <v>0</v>
      </c>
      <c r="G295" s="21" t="n">
        <v>0</v>
      </c>
      <c r="H295" s="21" t="n">
        <v>0</v>
      </c>
      <c r="I295" s="21" t="n">
        <v>1</v>
      </c>
    </row>
    <row r="296" customFormat="false" ht="30" hidden="true" customHeight="true" outlineLevel="1" collapsed="false">
      <c r="A296" s="21" t="n">
        <v>16</v>
      </c>
      <c r="B296" s="21" t="s">
        <v>222</v>
      </c>
      <c r="C296" s="21" t="n">
        <v>20</v>
      </c>
      <c r="D296" s="21" t="s">
        <v>206</v>
      </c>
      <c r="E296" s="21" t="n">
        <v>0</v>
      </c>
      <c r="F296" s="21" t="n">
        <v>0</v>
      </c>
      <c r="G296" s="21" t="n">
        <v>0</v>
      </c>
      <c r="H296" s="21" t="n">
        <v>0</v>
      </c>
      <c r="I296" s="21" t="n">
        <v>1</v>
      </c>
    </row>
    <row r="297" customFormat="false" ht="30" hidden="true" customHeight="true" outlineLevel="1" collapsed="false">
      <c r="A297" s="21" t="n">
        <v>17</v>
      </c>
      <c r="B297" s="21" t="s">
        <v>223</v>
      </c>
      <c r="C297" s="21" t="n">
        <v>20</v>
      </c>
      <c r="D297" s="21" t="s">
        <v>208</v>
      </c>
      <c r="E297" s="21" t="n">
        <v>0</v>
      </c>
      <c r="F297" s="21" t="n">
        <v>0</v>
      </c>
      <c r="G297" s="21" t="n">
        <v>0</v>
      </c>
      <c r="H297" s="21" t="n">
        <v>10</v>
      </c>
      <c r="I297" s="21" t="n">
        <v>1</v>
      </c>
    </row>
    <row r="298" customFormat="false" ht="30" hidden="true" customHeight="true" outlineLevel="1" collapsed="false">
      <c r="A298" s="21" t="n">
        <v>18</v>
      </c>
      <c r="B298" s="21" t="s">
        <v>224</v>
      </c>
      <c r="C298" s="21" t="n">
        <v>20</v>
      </c>
      <c r="D298" s="21" t="s">
        <v>206</v>
      </c>
      <c r="E298" s="21" t="n">
        <v>1</v>
      </c>
      <c r="F298" s="21" t="n">
        <v>1</v>
      </c>
      <c r="G298" s="21" t="n">
        <v>0</v>
      </c>
      <c r="H298" s="21" t="n">
        <v>0</v>
      </c>
      <c r="I298" s="21" t="n">
        <v>1</v>
      </c>
    </row>
    <row r="299" customFormat="false" ht="30" hidden="true" customHeight="true" outlineLevel="1" collapsed="false">
      <c r="A299" s="21" t="n">
        <v>19</v>
      </c>
      <c r="B299" s="21" t="s">
        <v>225</v>
      </c>
      <c r="C299" s="21" t="n">
        <v>20</v>
      </c>
      <c r="D299" s="21" t="s">
        <v>208</v>
      </c>
      <c r="E299" s="21" t="n">
        <v>0</v>
      </c>
      <c r="F299" s="21" t="n">
        <v>0</v>
      </c>
      <c r="G299" s="21" t="n">
        <v>0</v>
      </c>
      <c r="H299" s="21" t="n">
        <v>0</v>
      </c>
      <c r="I299" s="21" t="n">
        <v>1</v>
      </c>
    </row>
    <row r="300" customFormat="false" ht="30" hidden="true" customHeight="true" outlineLevel="1" collapsed="false">
      <c r="A300" s="21" t="n">
        <v>20</v>
      </c>
      <c r="B300" s="21" t="s">
        <v>226</v>
      </c>
      <c r="C300" s="21" t="n">
        <v>20</v>
      </c>
      <c r="D300" s="21" t="s">
        <v>206</v>
      </c>
      <c r="E300" s="21" t="n">
        <v>0</v>
      </c>
      <c r="F300" s="21" t="n">
        <v>0</v>
      </c>
      <c r="G300" s="21" t="n">
        <v>0</v>
      </c>
      <c r="H300" s="21" t="n">
        <v>0</v>
      </c>
      <c r="I300" s="21" t="n">
        <v>1</v>
      </c>
    </row>
    <row r="301" customFormat="false" ht="30" hidden="true" customHeight="true" outlineLevel="1" collapsed="false"/>
    <row r="302" customFormat="false" ht="30" hidden="true" customHeight="true" outlineLevel="1" collapsed="false">
      <c r="A302" s="9" t="s">
        <v>227</v>
      </c>
      <c r="B302" s="9"/>
      <c r="C302" s="9"/>
      <c r="D302" s="9"/>
      <c r="E302" s="9"/>
      <c r="F302" s="9"/>
      <c r="G302" s="9"/>
      <c r="H302" s="9"/>
      <c r="I302" s="9"/>
    </row>
    <row r="303" customFormat="false" ht="30" hidden="true" customHeight="true" outlineLevel="1" collapsed="false">
      <c r="A303" s="16" t="s">
        <v>228</v>
      </c>
      <c r="B303" s="16"/>
      <c r="C303" s="16"/>
      <c r="D303" s="16"/>
      <c r="E303" s="16"/>
      <c r="F303" s="16"/>
      <c r="G303" s="16"/>
      <c r="H303" s="16"/>
      <c r="I303" s="16"/>
    </row>
    <row r="304" customFormat="false" ht="30" hidden="true" customHeight="true" outlineLevel="1" collapsed="false">
      <c r="A304" s="16"/>
      <c r="B304" s="16"/>
      <c r="C304" s="16"/>
      <c r="D304" s="16"/>
      <c r="E304" s="16"/>
      <c r="F304" s="16"/>
      <c r="G304" s="16"/>
      <c r="H304" s="16"/>
      <c r="I304" s="16"/>
    </row>
    <row r="307" customFormat="false" ht="15" hidden="false" customHeight="false" outlineLevel="0" collapsed="false">
      <c r="A307" s="2" t="s">
        <v>277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customFormat="false" ht="30" hidden="true" customHeight="true" outlineLevel="1" collapsed="false">
      <c r="A308" s="21" t="s">
        <v>4</v>
      </c>
      <c r="B308" s="21" t="s">
        <v>230</v>
      </c>
      <c r="C308" s="21" t="s">
        <v>231</v>
      </c>
      <c r="D308" s="21" t="s">
        <v>232</v>
      </c>
      <c r="E308" s="21" t="s">
        <v>163</v>
      </c>
      <c r="F308" s="21" t="s">
        <v>13</v>
      </c>
      <c r="G308" s="21" t="s">
        <v>233</v>
      </c>
      <c r="H308" s="21" t="s">
        <v>234</v>
      </c>
      <c r="I308" s="21" t="s">
        <v>235</v>
      </c>
      <c r="J308" s="21" t="s">
        <v>236</v>
      </c>
      <c r="K308" s="21" t="s">
        <v>237</v>
      </c>
    </row>
    <row r="309" customFormat="false" ht="30" hidden="true" customHeight="true" outlineLevel="1" collapsed="false">
      <c r="A309" s="21" t="s">
        <v>167</v>
      </c>
      <c r="B309" s="21" t="s">
        <v>278</v>
      </c>
      <c r="C309" s="21" t="s">
        <v>279</v>
      </c>
      <c r="D309" s="21" t="s">
        <v>255</v>
      </c>
      <c r="E309" s="21" t="n">
        <v>0.0448</v>
      </c>
      <c r="F309" s="21" t="s">
        <v>172</v>
      </c>
      <c r="G309" s="21" t="s">
        <v>259</v>
      </c>
      <c r="H309" s="21" t="s">
        <v>257</v>
      </c>
      <c r="I309" s="21" t="n">
        <v>0.0448</v>
      </c>
      <c r="J309" s="21" t="n">
        <v>0</v>
      </c>
      <c r="K309" s="21" t="s">
        <v>241</v>
      </c>
    </row>
    <row r="310" customFormat="false" ht="30" hidden="true" customHeight="true" outlineLevel="1" collapsed="false">
      <c r="A310" s="21" t="s">
        <v>192</v>
      </c>
      <c r="B310" s="21" t="s">
        <v>278</v>
      </c>
      <c r="C310" s="21" t="s">
        <v>279</v>
      </c>
      <c r="D310" s="21" t="s">
        <v>255</v>
      </c>
      <c r="E310" s="21" t="n">
        <v>0.0448</v>
      </c>
      <c r="F310" s="21" t="s">
        <v>172</v>
      </c>
      <c r="G310" s="21" t="s">
        <v>259</v>
      </c>
      <c r="H310" s="21" t="s">
        <v>257</v>
      </c>
      <c r="I310" s="21" t="n">
        <v>0.0448</v>
      </c>
      <c r="J310" s="21" t="n">
        <v>0</v>
      </c>
      <c r="K310" s="21" t="s">
        <v>241</v>
      </c>
    </row>
    <row r="311" customFormat="false" ht="30" hidden="true" customHeight="true" outlineLevel="1" collapsed="false">
      <c r="A311" s="21" t="s">
        <v>193</v>
      </c>
      <c r="B311" s="21" t="s">
        <v>280</v>
      </c>
      <c r="C311" s="21" t="s">
        <v>281</v>
      </c>
      <c r="D311" s="21" t="s">
        <v>255</v>
      </c>
      <c r="E311" s="21" t="n">
        <v>0.202</v>
      </c>
      <c r="F311" s="21" t="s">
        <v>172</v>
      </c>
      <c r="G311" s="21" t="s">
        <v>272</v>
      </c>
      <c r="H311" s="21" t="s">
        <v>257</v>
      </c>
      <c r="I311" s="21" t="n">
        <v>0.202</v>
      </c>
      <c r="J311" s="21" t="n">
        <v>0</v>
      </c>
      <c r="K311" s="21" t="s">
        <v>241</v>
      </c>
    </row>
    <row r="312" customFormat="false" ht="30" hidden="true" customHeight="true" outlineLevel="1" collapsed="false">
      <c r="A312" s="21" t="s">
        <v>18</v>
      </c>
      <c r="B312" s="21" t="s">
        <v>282</v>
      </c>
      <c r="C312" s="21" t="s">
        <v>283</v>
      </c>
      <c r="D312" s="21" t="s">
        <v>255</v>
      </c>
      <c r="E312" s="21" t="n">
        <v>0.1</v>
      </c>
      <c r="F312" s="21" t="s">
        <v>172</v>
      </c>
      <c r="G312" s="21" t="s">
        <v>271</v>
      </c>
      <c r="H312" s="21" t="s">
        <v>257</v>
      </c>
      <c r="I312" s="21" t="n">
        <v>0.1</v>
      </c>
      <c r="J312" s="21" t="n">
        <v>0</v>
      </c>
      <c r="K312" s="21" t="s">
        <v>241</v>
      </c>
    </row>
    <row r="313" customFormat="false" ht="30" hidden="true" customHeight="true" outlineLevel="1" collapsed="false">
      <c r="A313" s="21" t="s">
        <v>21</v>
      </c>
      <c r="B313" s="21" t="s">
        <v>280</v>
      </c>
      <c r="C313" s="21" t="s">
        <v>281</v>
      </c>
      <c r="D313" s="21" t="s">
        <v>255</v>
      </c>
      <c r="E313" s="21" t="n">
        <v>0.202</v>
      </c>
      <c r="F313" s="21" t="s">
        <v>172</v>
      </c>
      <c r="G313" s="21" t="s">
        <v>272</v>
      </c>
      <c r="H313" s="21" t="s">
        <v>257</v>
      </c>
      <c r="I313" s="21" t="n">
        <v>0.202</v>
      </c>
      <c r="J313" s="21" t="n">
        <v>0</v>
      </c>
      <c r="K313" s="21" t="s">
        <v>241</v>
      </c>
    </row>
    <row r="314" customFormat="false" ht="30" hidden="true" customHeight="true" outlineLevel="1" collapsed="false">
      <c r="A314" s="21" t="s">
        <v>23</v>
      </c>
      <c r="B314" s="21" t="s">
        <v>284</v>
      </c>
      <c r="C314" s="21" t="s">
        <v>285</v>
      </c>
      <c r="D314" s="21" t="s">
        <v>286</v>
      </c>
      <c r="E314" s="21" t="n">
        <v>0.164984375</v>
      </c>
      <c r="F314" s="21" t="s">
        <v>172</v>
      </c>
      <c r="G314" s="21" t="s">
        <v>273</v>
      </c>
      <c r="H314" s="21" t="s">
        <v>257</v>
      </c>
      <c r="I314" s="21" t="n">
        <v>0.164984375</v>
      </c>
      <c r="J314" s="21" t="n">
        <v>0</v>
      </c>
      <c r="K314" s="21" t="s">
        <v>241</v>
      </c>
    </row>
    <row r="315" customFormat="false" ht="30" hidden="true" customHeight="true" outlineLevel="1" collapsed="false">
      <c r="A315" s="21" t="s">
        <v>27</v>
      </c>
      <c r="B315" s="21" t="s">
        <v>287</v>
      </c>
      <c r="C315" s="21" t="s">
        <v>288</v>
      </c>
      <c r="D315" s="21" t="s">
        <v>286</v>
      </c>
      <c r="E315" s="21" t="n">
        <v>0.21</v>
      </c>
      <c r="F315" s="21" t="s">
        <v>172</v>
      </c>
      <c r="G315" s="21" t="s">
        <v>274</v>
      </c>
      <c r="H315" s="21" t="s">
        <v>257</v>
      </c>
      <c r="I315" s="21" t="n">
        <v>0.21</v>
      </c>
      <c r="J315" s="21" t="n">
        <v>0</v>
      </c>
      <c r="K315" s="21" t="s">
        <v>241</v>
      </c>
    </row>
    <row r="316" customFormat="false" ht="30" hidden="true" customHeight="true" outlineLevel="1" collapsed="false">
      <c r="A316" s="21" t="s">
        <v>29</v>
      </c>
      <c r="B316" s="21" t="s">
        <v>252</v>
      </c>
      <c r="C316" s="21" t="s">
        <v>253</v>
      </c>
      <c r="D316" s="21" t="s">
        <v>254</v>
      </c>
      <c r="E316" s="21" t="n">
        <v>0</v>
      </c>
      <c r="F316" s="21" t="s">
        <v>172</v>
      </c>
      <c r="G316" s="21" t="s">
        <v>275</v>
      </c>
      <c r="H316" s="21" t="s">
        <v>257</v>
      </c>
      <c r="I316" s="21" t="n">
        <v>0</v>
      </c>
      <c r="K316" s="21" t="s">
        <v>241</v>
      </c>
    </row>
    <row r="317" customFormat="false" ht="30" hidden="true" customHeight="true" outlineLevel="1" collapsed="false">
      <c r="A317" s="21" t="s">
        <v>33</v>
      </c>
      <c r="B317" s="21" t="s">
        <v>252</v>
      </c>
      <c r="C317" s="21" t="s">
        <v>253</v>
      </c>
      <c r="D317" s="21" t="s">
        <v>89</v>
      </c>
      <c r="E317" s="21" t="n">
        <v>0</v>
      </c>
      <c r="F317" s="21" t="s">
        <v>172</v>
      </c>
      <c r="G317" s="21" t="s">
        <v>275</v>
      </c>
      <c r="H317" s="21" t="s">
        <v>257</v>
      </c>
      <c r="I317" s="21" t="n">
        <v>0</v>
      </c>
      <c r="K317" s="21" t="s">
        <v>241</v>
      </c>
    </row>
    <row r="318" customFormat="false" ht="30" hidden="true" customHeight="true" outlineLevel="1" collapsed="false">
      <c r="A318" s="21" t="s">
        <v>36</v>
      </c>
      <c r="B318" s="21" t="s">
        <v>252</v>
      </c>
      <c r="C318" s="21" t="s">
        <v>253</v>
      </c>
      <c r="D318" s="21" t="s">
        <v>255</v>
      </c>
      <c r="E318" s="21" t="n">
        <v>0</v>
      </c>
      <c r="F318" s="21" t="s">
        <v>172</v>
      </c>
      <c r="G318" s="21" t="s">
        <v>275</v>
      </c>
      <c r="H318" s="21" t="s">
        <v>257</v>
      </c>
      <c r="I318" s="21" t="n">
        <v>0</v>
      </c>
      <c r="K318" s="21" t="s">
        <v>241</v>
      </c>
    </row>
    <row r="319" customFormat="false" ht="30" hidden="true" customHeight="true" outlineLevel="1" collapsed="false">
      <c r="A319" s="21" t="s">
        <v>37</v>
      </c>
      <c r="B319" s="21" t="s">
        <v>252</v>
      </c>
      <c r="C319" s="21" t="s">
        <v>253</v>
      </c>
      <c r="D319" s="21" t="s">
        <v>254</v>
      </c>
      <c r="E319" s="21" t="n">
        <v>0</v>
      </c>
      <c r="F319" s="21" t="s">
        <v>172</v>
      </c>
      <c r="G319" s="21" t="s">
        <v>275</v>
      </c>
      <c r="H319" s="21" t="s">
        <v>257</v>
      </c>
      <c r="I319" s="21" t="n">
        <v>0</v>
      </c>
      <c r="K319" s="21" t="s">
        <v>241</v>
      </c>
    </row>
  </sheetData>
  <mergeCells count="58">
    <mergeCell ref="A1:K1"/>
    <mergeCell ref="A2:K2"/>
    <mergeCell ref="A4:K4"/>
    <mergeCell ref="A5:J5"/>
    <mergeCell ref="A18:G18"/>
    <mergeCell ref="A21:K21"/>
    <mergeCell ref="A22:D22"/>
    <mergeCell ref="A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A37:D37"/>
    <mergeCell ref="A38:D40"/>
    <mergeCell ref="A43:K43"/>
    <mergeCell ref="A44:J44"/>
    <mergeCell ref="A57:G57"/>
    <mergeCell ref="A60:K60"/>
    <mergeCell ref="A61:D61"/>
    <mergeCell ref="A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A76:D76"/>
    <mergeCell ref="A77:D79"/>
    <mergeCell ref="A82:K82"/>
    <mergeCell ref="A83:D83"/>
    <mergeCell ref="A122:K122"/>
    <mergeCell ref="A123:H123"/>
    <mergeCell ref="A157:K157"/>
    <mergeCell ref="A158:H158"/>
    <mergeCell ref="A182:I182"/>
    <mergeCell ref="A183:I184"/>
    <mergeCell ref="A187:K187"/>
    <mergeCell ref="A202:K202"/>
    <mergeCell ref="A203:D203"/>
    <mergeCell ref="A242:K242"/>
    <mergeCell ref="A243:H243"/>
    <mergeCell ref="A277:K277"/>
    <mergeCell ref="A278:H278"/>
    <mergeCell ref="A302:I302"/>
    <mergeCell ref="A303:I304"/>
    <mergeCell ref="A307:K3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2026-09-14T08:11:48Z</dcterms:created>
  <dc:creator>openpyxl</dc:creator>
  <dc:description/>
  <dc:language>en-US</dc:language>
  <cp:lastModifiedBy/>
  <dcterms:modified xsi:type="dcterms:W3CDTF">2026-09-14T08:11:48Z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