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ab Cost" sheetId="2" state="visible" r:id="rId2"/>
  </sheets>
  <definedNames>
    <definedName name="_xlnm._FilterDatabase" localSheetId="1" hidden="1">'Lab Cost'!$A$4:$M$84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00"/>
    <numFmt numFmtId="165" formatCode="INR 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FFFFFF"/>
    </font>
    <font>
      <i val="1"/>
      <color rgb="0017365D"/>
    </font>
    <font>
      <i val="1"/>
      <color rgb="00595959"/>
    </font>
    <font>
      <b val="1"/>
      <color rgb="007F2704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6" borderId="0" pivotButton="0" quotePrefix="0" xfId="0"/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right" vertical="top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right" vertical="top" wrapText="1"/>
    </xf>
    <xf numFmtId="165" fontId="0" fillId="0" borderId="1" applyAlignment="1" pivotButton="0" quotePrefix="0" xfId="0">
      <alignment horizontal="right" vertical="top" wrapText="1"/>
    </xf>
    <xf numFmtId="2" fontId="0" fillId="0" borderId="1" applyAlignment="1" pivotButton="0" quotePrefix="0" xfId="0">
      <alignment horizontal="right" vertical="top" wrapText="1"/>
    </xf>
    <xf numFmtId="1" fontId="0" fillId="0" borderId="1" applyAlignment="1" pivotButton="0" quotePrefix="0" xfId="0">
      <alignment horizontal="right" vertical="top" wrapText="1"/>
    </xf>
    <xf numFmtId="0" fontId="4" fillId="7" borderId="1" applyAlignment="1" pivotButton="0" quotePrefix="0" xfId="0">
      <alignment horizontal="left" vertical="top" wrapText="1"/>
    </xf>
    <xf numFmtId="164" fontId="4" fillId="7" borderId="1" applyAlignment="1" pivotButton="0" quotePrefix="0" xfId="0">
      <alignment horizontal="right" vertical="top" wrapText="1"/>
    </xf>
    <xf numFmtId="165" fontId="4" fillId="7" borderId="1" applyAlignment="1" pivotButton="0" quotePrefix="0" xfId="0">
      <alignment horizontal="right" vertical="top" wrapText="1"/>
    </xf>
    <xf numFmtId="2" fontId="4" fillId="7" borderId="1" applyAlignment="1" pivotButton="0" quotePrefix="0" xfId="0">
      <alignment horizontal="right" vertical="top" wrapText="1"/>
    </xf>
    <xf numFmtId="1" fontId="4" fillId="7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right" vertical="top" wrapText="1"/>
    </xf>
    <xf numFmtId="165" fontId="4" fillId="5" borderId="1" applyAlignment="1" pivotButton="0" quotePrefix="0" xfId="0">
      <alignment horizontal="right" vertical="top" wrapText="1"/>
    </xf>
    <xf numFmtId="2" fontId="4" fillId="5" borderId="1" applyAlignment="1" pivotButton="0" quotePrefix="0" xfId="0">
      <alignment horizontal="right" vertical="top" wrapText="1"/>
    </xf>
    <xf numFmtId="1" fontId="4" fillId="5" borderId="1" applyAlignment="1" pivotButton="0" quotePrefix="0" xfId="0">
      <alignment horizontal="right" vertical="top" wrapText="1"/>
    </xf>
    <xf numFmtId="0" fontId="0" fillId="5" borderId="1" applyAlignment="1" pivotButton="0" quotePrefix="0" xfId="0">
      <alignment horizontal="left" vertical="top" wrapText="1"/>
    </xf>
    <xf numFmtId="164" fontId="0" fillId="5" borderId="1" applyAlignment="1" pivotButton="0" quotePrefix="0" xfId="0">
      <alignment horizontal="right" vertical="top" wrapText="1"/>
    </xf>
    <xf numFmtId="165" fontId="0" fillId="5" borderId="1" applyAlignment="1" pivotButton="0" quotePrefix="0" xfId="0">
      <alignment horizontal="right" vertical="top" wrapText="1"/>
    </xf>
    <xf numFmtId="2" fontId="0" fillId="5" borderId="1" applyAlignment="1" pivotButton="0" quotePrefix="0" xfId="0">
      <alignment horizontal="right" vertical="top" wrapText="1"/>
    </xf>
    <xf numFmtId="1" fontId="0" fillId="5" borderId="1" applyAlignment="1" pivotButton="0" quotePrefix="0" xfId="0">
      <alignment horizontal="right" vertical="top" wrapText="1"/>
    </xf>
    <xf numFmtId="0" fontId="5" fillId="8" borderId="1" applyAlignment="1" pivotButton="0" quotePrefix="0" xfId="0">
      <alignment horizontal="left" vertical="top" wrapText="1"/>
    </xf>
    <xf numFmtId="164" fontId="5" fillId="8" borderId="1" applyAlignment="1" pivotButton="0" quotePrefix="0" xfId="0">
      <alignment horizontal="right" vertical="top" wrapText="1"/>
    </xf>
    <xf numFmtId="165" fontId="5" fillId="8" borderId="1" applyAlignment="1" pivotButton="0" quotePrefix="0" xfId="0">
      <alignment horizontal="right" vertical="top" wrapText="1"/>
    </xf>
    <xf numFmtId="2" fontId="5" fillId="8" borderId="1" applyAlignment="1" pivotButton="0" quotePrefix="0" xfId="0">
      <alignment horizontal="right" vertical="top" wrapText="1"/>
    </xf>
    <xf numFmtId="1" fontId="5" fillId="8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4" customWidth="1" min="3" max="3"/>
    <col width="15" customWidth="1" min="4" max="4"/>
    <col width="48" customWidth="1" min="5" max="5"/>
    <col width="48" customWidth="1" min="6" max="6"/>
  </cols>
  <sheetData>
    <row r="1" ht="26" customHeight="1">
      <c r="A1" s="1" t="inlineStr">
        <is>
          <t>Lab Cost Generator - Assumptions &amp; AWS Rate Card</t>
        </is>
      </c>
    </row>
    <row r="3">
      <c r="A3" s="2" t="inlineStr">
        <is>
          <t>Global Inputs (edit yellow cells)</t>
        </is>
      </c>
      <c r="B3" s="3" t="n"/>
      <c r="C3" s="3" t="n"/>
      <c r="D3" s="3" t="n"/>
      <c r="E3" s="3" t="n"/>
      <c r="F3" s="3" t="n"/>
    </row>
    <row r="4">
      <c r="A4" s="3" t="inlineStr">
        <is>
          <t>Hours per Training Day</t>
        </is>
      </c>
      <c r="B4" s="4" t="n">
        <v>8</v>
      </c>
      <c r="C4" s="3" t="inlineStr">
        <is>
          <t>hours</t>
        </is>
      </c>
      <c r="D4" s="3" t="n"/>
      <c r="E4" s="3" t="n"/>
      <c r="F4" s="3" t="n"/>
    </row>
    <row r="5">
      <c r="A5" s="3" t="inlineStr">
        <is>
          <t>Number of Participants</t>
        </is>
      </c>
      <c r="B5" s="5" t="n">
        <v>60</v>
      </c>
      <c r="C5" s="3" t="inlineStr">
        <is>
          <t>learners</t>
        </is>
      </c>
      <c r="D5" s="3" t="n"/>
      <c r="E5" s="3" t="n"/>
      <c r="F5" s="3" t="n"/>
    </row>
    <row r="6">
      <c r="A6" s="3" t="inlineStr">
        <is>
          <t>USD to INR Conversion Rate</t>
        </is>
      </c>
      <c r="B6" s="4" t="n">
        <v>83</v>
      </c>
      <c r="C6" s="3" t="inlineStr">
        <is>
          <t>INR per USD 1</t>
        </is>
      </c>
      <c r="D6" s="3" t="n"/>
      <c r="E6" s="3" t="n"/>
      <c r="F6" s="3" t="n"/>
    </row>
    <row r="7">
      <c r="A7" s="3" t="inlineStr">
        <is>
          <t>Cloud Provider</t>
        </is>
      </c>
      <c r="B7" s="6" t="inlineStr">
        <is>
          <t>AWS</t>
        </is>
      </c>
      <c r="C7" s="3" t="inlineStr">
        <is>
          <t>AWS / Azure / GCP</t>
        </is>
      </c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7" t="inlineStr">
        <is>
          <t>AWS Rate Card (approximate on-demand US pricing; verify region and current rates before final budget)</t>
        </is>
      </c>
      <c r="B10" s="3" t="n"/>
      <c r="C10" s="3" t="n"/>
      <c r="D10" s="3" t="n"/>
      <c r="E10" s="3" t="n"/>
      <c r="F10" s="3" t="n"/>
    </row>
    <row r="11">
      <c r="A11" s="2" t="inlineStr">
        <is>
          <t>Key</t>
        </is>
      </c>
      <c r="B11" s="2" t="inlineStr">
        <is>
          <t>Tool / Cloud Resource</t>
        </is>
      </c>
      <c r="C11" s="2" t="inlineStr">
        <is>
          <t>Billing Unit</t>
        </is>
      </c>
      <c r="D11" s="2" t="inlineStr">
        <is>
          <t>Rate (USD)</t>
        </is>
      </c>
      <c r="E11" s="2" t="inlineStr">
        <is>
          <t>Use Case</t>
        </is>
      </c>
      <c r="F11" s="2" t="inlineStr">
        <is>
          <t>Source / Note</t>
        </is>
      </c>
    </row>
    <row r="12">
      <c r="A12" s="3" t="inlineStr">
        <is>
          <t>compute_light</t>
        </is>
      </c>
      <c r="B12" s="3" t="inlineStr">
        <is>
          <t>EC2 t3.medium</t>
        </is>
      </c>
      <c r="C12" s="3" t="inlineStr">
        <is>
          <t>per_hour</t>
        </is>
      </c>
      <c r="D12" s="8" t="n">
        <v>0.0416</v>
      </c>
      <c r="E12" s="3" t="inlineStr">
        <is>
          <t>General labs: Python, Linux, Git, scripting</t>
        </is>
      </c>
      <c r="F12" s="3" t="inlineStr">
        <is>
          <t>User-provided Multi-Cloud Tool Cost Dataset (Aug 2026 approximate rate)</t>
        </is>
      </c>
    </row>
    <row r="13">
      <c r="A13" s="3" t="inlineStr">
        <is>
          <t>compute_heavy</t>
        </is>
      </c>
      <c r="B13" s="3" t="inlineStr">
        <is>
          <t>EC2 t3.xlarge</t>
        </is>
      </c>
      <c r="C13" s="3" t="inlineStr">
        <is>
          <t>per_hour</t>
        </is>
      </c>
      <c r="D13" s="8" t="n">
        <v>0.167</v>
      </c>
      <c r="E13" s="3" t="inlineStr">
        <is>
          <t>Docker, Kubernetes, Jenkins, CI/CD, capstones</t>
        </is>
      </c>
      <c r="F13" s="3" t="inlineStr">
        <is>
          <t>User-provided Multi-Cloud Tool Cost Dataset (Aug 2026 approximate rate)</t>
        </is>
      </c>
    </row>
    <row r="14">
      <c r="A14" s="3" t="inlineStr">
        <is>
          <t>managed_kubernetes</t>
        </is>
      </c>
      <c r="B14" s="3" t="inlineStr">
        <is>
          <t>EKS control plane</t>
        </is>
      </c>
      <c r="C14" s="3" t="inlineStr">
        <is>
          <t>per_hour_per_cluster</t>
        </is>
      </c>
      <c r="D14" s="8" t="n">
        <v>0.1</v>
      </c>
      <c r="E14" s="3" t="inlineStr">
        <is>
          <t>Managed cluster control plane</t>
        </is>
      </c>
      <c r="F14" s="3" t="inlineStr">
        <is>
          <t>User-provided Multi-Cloud Tool Cost Dataset (Aug 2026 approximate rate)</t>
        </is>
      </c>
    </row>
    <row r="15">
      <c r="A15" s="3" t="inlineStr">
        <is>
          <t>block_storage</t>
        </is>
      </c>
      <c r="B15" s="3" t="inlineStr">
        <is>
          <t>EBS gp3</t>
        </is>
      </c>
      <c r="C15" s="3" t="inlineStr">
        <is>
          <t>per_gb_month</t>
        </is>
      </c>
      <c r="D15" s="8" t="n">
        <v>0.08</v>
      </c>
      <c r="E15" s="3" t="inlineStr">
        <is>
          <t>SSD disk attached to a virtual machine</t>
        </is>
      </c>
      <c r="F15" s="3" t="inlineStr">
        <is>
          <t>User-provided Multi-Cloud Tool Cost Dataset (Aug 2026 approximate rate)</t>
        </is>
      </c>
    </row>
    <row r="16">
      <c r="A16" s="3" t="inlineStr">
        <is>
          <t>object_storage</t>
        </is>
      </c>
      <c r="B16" s="3" t="inlineStr">
        <is>
          <t>S3 Standard</t>
        </is>
      </c>
      <c r="C16" s="3" t="inlineStr">
        <is>
          <t>per_gb_month</t>
        </is>
      </c>
      <c r="D16" s="8" t="n">
        <v>0.023</v>
      </c>
      <c r="E16" s="3" t="inlineStr">
        <is>
          <t>Hot or standard object storage</t>
        </is>
      </c>
      <c r="F16" s="3" t="inlineStr">
        <is>
          <t>User-provided Multi-Cloud Tool Cost Dataset (Aug 2026 approximate rate)</t>
        </is>
      </c>
    </row>
    <row r="17">
      <c r="A17" s="3" t="inlineStr">
        <is>
          <t>load_balancer</t>
        </is>
      </c>
      <c r="B17" s="3" t="inlineStr">
        <is>
          <t>Application Load Balancer</t>
        </is>
      </c>
      <c r="C17" s="3" t="inlineStr">
        <is>
          <t>per_hour_plus_data</t>
        </is>
      </c>
      <c r="D17" s="8" t="n">
        <v>0.025</v>
      </c>
      <c r="E17" s="3" t="inlineStr">
        <is>
          <t>HTTP(S) or TCP load balancing</t>
        </is>
      </c>
      <c r="F17" s="3" t="inlineStr">
        <is>
          <t>User-provided Multi-Cloud Tool Cost Dataset (Aug 2026 approximate rate)</t>
        </is>
      </c>
    </row>
    <row r="18">
      <c r="A18" s="3" t="inlineStr">
        <is>
          <t>nat_gateway</t>
        </is>
      </c>
      <c r="B18" s="3" t="inlineStr">
        <is>
          <t>NAT Gateway</t>
        </is>
      </c>
      <c r="C18" s="3" t="inlineStr">
        <is>
          <t>per_hour_plus_data</t>
        </is>
      </c>
      <c r="D18" s="8" t="n">
        <v>0.045</v>
      </c>
      <c r="E18" s="3" t="inlineStr">
        <is>
          <t>Outbound internet for private subnets</t>
        </is>
      </c>
      <c r="F18" s="3" t="inlineStr">
        <is>
          <t>User-provided Multi-Cloud Tool Cost Dataset (Aug 2026 approximate rate)</t>
        </is>
      </c>
    </row>
    <row r="19">
      <c r="A19" s="3" t="inlineStr">
        <is>
          <t>data_egress</t>
        </is>
      </c>
      <c r="B19" s="3" t="inlineStr">
        <is>
          <t>Data Transfer Out</t>
        </is>
      </c>
      <c r="C19" s="3" t="inlineStr">
        <is>
          <t>per_gb</t>
        </is>
      </c>
      <c r="D19" s="8" t="n">
        <v>0.09</v>
      </c>
      <c r="E19" s="3" t="inlineStr">
        <is>
          <t>Outbound internet data transfer</t>
        </is>
      </c>
      <c r="F19" s="3" t="inlineStr">
        <is>
          <t>User-provided Multi-Cloud Tool Cost Dataset (Aug 2026 approximate rate)</t>
        </is>
      </c>
    </row>
    <row r="20">
      <c r="A20" s="3" t="inlineStr">
        <is>
          <t>build_runner</t>
        </is>
      </c>
      <c r="B20" s="3" t="inlineStr">
        <is>
          <t>CodeBuild general1.small</t>
        </is>
      </c>
      <c r="C20" s="3" t="inlineStr">
        <is>
          <t>per_build_minute</t>
        </is>
      </c>
      <c r="D20" s="8" t="n">
        <v>0.005</v>
      </c>
      <c r="E20" s="3" t="inlineStr">
        <is>
          <t>Managed build-minute billing</t>
        </is>
      </c>
      <c r="F20" s="3" t="inlineStr">
        <is>
          <t>User-provided Multi-Cloud Tool Cost Dataset (Aug 2026 approximate rate)</t>
        </is>
      </c>
    </row>
    <row r="21">
      <c r="A21" s="3" t="inlineStr">
        <is>
          <t>container_registry</t>
        </is>
      </c>
      <c r="B21" s="3" t="inlineStr">
        <is>
          <t>ECR</t>
        </is>
      </c>
      <c r="C21" s="3" t="inlineStr">
        <is>
          <t>per_gb_month</t>
        </is>
      </c>
      <c r="D21" s="8" t="n">
        <v>0.1</v>
      </c>
      <c r="E21" s="3" t="inlineStr">
        <is>
          <t>Private container image storage</t>
        </is>
      </c>
      <c r="F21" s="3" t="inlineStr">
        <is>
          <t>User-provided Multi-Cloud Tool Cost Dataset (Aug 2026 approximate rate)</t>
        </is>
      </c>
    </row>
    <row r="22">
      <c r="A22" s="3" t="inlineStr">
        <is>
          <t>relational_db</t>
        </is>
      </c>
      <c r="B22" s="3" t="inlineStr">
        <is>
          <t>RDS db.t3.medium</t>
        </is>
      </c>
      <c r="C22" s="3" t="inlineStr">
        <is>
          <t>per_hour</t>
        </is>
      </c>
      <c r="D22" s="8" t="n">
        <v>0.068</v>
      </c>
      <c r="E22" s="3" t="inlineStr">
        <is>
          <t>Small development or test database</t>
        </is>
      </c>
      <c r="F22" s="3" t="inlineStr">
        <is>
          <t>User-provided Multi-Cloud Tool Cost Dataset (Aug 2026 approximate rate)</t>
        </is>
      </c>
    </row>
    <row r="23">
      <c r="A23" s="3" t="inlineStr">
        <is>
          <t>monitoring</t>
        </is>
      </c>
      <c r="B23" s="3" t="inlineStr">
        <is>
          <t>CloudWatch Logs</t>
        </is>
      </c>
      <c r="C23" s="3" t="inlineStr">
        <is>
          <t>per_gb_ingested</t>
        </is>
      </c>
      <c r="D23" s="8" t="n">
        <v>0.5</v>
      </c>
      <c r="E23" s="3" t="inlineStr">
        <is>
          <t>Log ingestion beyond the free tier</t>
        </is>
      </c>
      <c r="F23" s="3" t="inlineStr">
        <is>
          <t>User-provided Multi-Cloud Tool Cost Dataset (Aug 2026 approximate rate)</t>
        </is>
      </c>
    </row>
    <row r="24">
      <c r="A24" s="3" t="n"/>
      <c r="B24" s="3" t="n"/>
      <c r="C24" s="3" t="n"/>
      <c r="D24" s="3" t="n"/>
      <c r="E24" s="3" t="n"/>
      <c r="F24" s="3" t="n"/>
    </row>
    <row r="25">
      <c r="A25" s="7" t="inlineStr">
        <is>
          <t>Free / Third-Party Tool Rules</t>
        </is>
      </c>
      <c r="B25" s="3" t="n"/>
      <c r="C25" s="3" t="n"/>
      <c r="D25" s="3" t="n"/>
      <c r="E25" s="3" t="n"/>
      <c r="F25" s="3" t="n"/>
    </row>
    <row r="26">
      <c r="A26" s="3" t="inlineStr">
        <is>
          <t>Tool Group</t>
        </is>
      </c>
      <c r="B26" s="3" t="inlineStr">
        <is>
          <t>Billing Type</t>
        </is>
      </c>
      <c r="C26" s="3" t="inlineStr">
        <is>
          <t>Rate (USD)</t>
        </is>
      </c>
      <c r="D26" s="3" t="inlineStr">
        <is>
          <t>Notes</t>
        </is>
      </c>
      <c r="E26" s="3" t="inlineStr"/>
      <c r="F26" s="3" t="inlineStr"/>
    </row>
    <row r="27">
      <c r="A27" s="9" t="inlineStr">
        <is>
          <t>Docker / Kubernetes self-managed / Git / Jenkins / SonarQube / Maven / Ansible / Terraform / Helm</t>
        </is>
      </c>
      <c r="B27" s="9" t="inlineStr">
        <is>
          <t>free</t>
        </is>
      </c>
      <c r="C27" s="9" t="n">
        <v>0</v>
      </c>
      <c r="D27" s="9" t="inlineStr">
        <is>
          <t>Open-source; underlying cloud compute may still be billed</t>
        </is>
      </c>
      <c r="E27" s="9" t="inlineStr"/>
      <c r="F27" s="9" t="inlineStr"/>
    </row>
    <row r="28">
      <c r="A28" s="9" t="inlineStr">
        <is>
          <t>Jira / Datadog / Claude / Factory.AI / Harness.io / OpenAI / LangChain / LangGraph / Langfuse</t>
        </is>
      </c>
      <c r="B28" s="9" t="inlineStr">
        <is>
          <t>third_party</t>
        </is>
      </c>
      <c r="C28" s="9" t="n">
        <v>0</v>
      </c>
      <c r="D28" s="9" t="inlineStr">
        <is>
          <t>Not cloud-provider billed; vendor charges are tracked separately</t>
        </is>
      </c>
      <c r="E28" s="9" t="inlineStr"/>
      <c r="F28" s="9" t="inlineStr"/>
    </row>
  </sheetData>
  <mergeCells count="4">
    <mergeCell ref="A3:F3"/>
    <mergeCell ref="A1:F1"/>
    <mergeCell ref="A25:F25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50" customWidth="1" min="3" max="3"/>
    <col width="13" customWidth="1" min="4" max="4"/>
    <col width="34" customWidth="1" min="5" max="5"/>
    <col width="38" customWidth="1" min="6" max="6"/>
    <col width="14" customWidth="1" min="7" max="7"/>
    <col width="14" customWidth="1" min="8" max="8"/>
    <col width="18" customWidth="1" min="9" max="9"/>
    <col width="16" customWidth="1" min="10" max="10"/>
    <col width="16" customWidth="1" min="11" max="11"/>
    <col width="20" customWidth="1" min="12" max="12"/>
    <col width="20" customWidth="1" min="13" max="13"/>
  </cols>
  <sheetData>
    <row r="1" ht="28" customHeight="1">
      <c r="A1" s="1" t="inlineStr">
        <is>
          <t>AWS Lab Cost by TOC Line Item - DevOps Mastery</t>
        </is>
      </c>
    </row>
    <row r="2">
      <c r="A2" s="10" t="inlineStr">
        <is>
          <t>Parent TOC rows carry costs. Indented session topics show tool usage only and are already covered by the parent day.</t>
        </is>
      </c>
    </row>
    <row r="4" ht="44" customHeight="1">
      <c r="A4" s="11" t="inlineStr">
        <is>
          <t>S#</t>
        </is>
      </c>
      <c r="B4" s="11" t="inlineStr">
        <is>
          <t>Category</t>
        </is>
      </c>
      <c r="C4" s="11" t="inlineStr">
        <is>
          <t>Topic (as per TOC)</t>
        </is>
      </c>
      <c r="D4" s="11" t="inlineStr">
        <is>
          <t>Day(s)</t>
        </is>
      </c>
      <c r="E4" s="11" t="inlineStr">
        <is>
          <t>Tool / Cloud Resource Required</t>
        </is>
      </c>
      <c r="F4" s="11" t="inlineStr">
        <is>
          <t>Billing Type</t>
        </is>
      </c>
      <c r="G4" s="12" t="inlineStr">
        <is>
          <t>Rate/Hr (USD)</t>
        </is>
      </c>
      <c r="H4" s="12" t="inlineStr">
        <is>
          <t>Rate/Hr (INR)</t>
        </is>
      </c>
      <c r="I4" s="12" t="inlineStr">
        <is>
          <t>N-Hr Day Cost (INR)</t>
        </is>
      </c>
      <c r="J4" s="12" t="inlineStr">
        <is>
          <t>Total Hrs for Topic</t>
        </is>
      </c>
      <c r="K4" s="12" t="inlineStr">
        <is>
          <t>No. of Participants</t>
        </is>
      </c>
      <c r="L4" s="12" t="inlineStr">
        <is>
          <t>Cost/Participant (INR)</t>
        </is>
      </c>
      <c r="M4" s="12" t="inlineStr">
        <is>
          <t>TOTAL Cost (INR)</t>
        </is>
      </c>
    </row>
    <row r="5">
      <c r="A5" s="13" t="n">
        <v>1</v>
      </c>
      <c r="B5" s="13" t="inlineStr">
        <is>
          <t>Core Learning</t>
        </is>
      </c>
      <c r="C5" s="13" t="inlineStr">
        <is>
          <t>DevOps Orientation, SDLC and Agile Delivery</t>
        </is>
      </c>
      <c r="D5" s="13" t="inlineStr">
        <is>
          <t>Day 1</t>
        </is>
      </c>
      <c r="E5" s="13" t="inlineStr">
        <is>
          <t>EC2 t3.xlarge</t>
        </is>
      </c>
      <c r="F5" s="13" t="inlineStr">
        <is>
          <t>AWS EC2 (billed hourly, N-hr lab day)</t>
        </is>
      </c>
      <c r="G5" s="14">
        <f>'Assumptions'!$D$13</f>
        <v/>
      </c>
      <c r="H5" s="15">
        <f>G5*'Assumptions'!$B$6</f>
        <v/>
      </c>
      <c r="I5" s="15">
        <f>G5*'Assumptions'!$B$4*'Assumptions'!$B$6</f>
        <v/>
      </c>
      <c r="J5" s="16">
        <f>1*'Assumptions'!$B$4</f>
        <v/>
      </c>
      <c r="K5" s="17">
        <f>'Assumptions'!$B$5</f>
        <v/>
      </c>
      <c r="L5" s="15">
        <f>G5*J5*'Assumptions'!$B$6</f>
        <v/>
      </c>
      <c r="M5" s="15">
        <f>L5*K5</f>
        <v/>
      </c>
    </row>
    <row r="6">
      <c r="A6" s="18" t="inlineStr"/>
      <c r="B6" s="18" t="inlineStr"/>
      <c r="C6" s="18" t="inlineStr">
        <is>
          <t xml:space="preserve">    &gt; DevOps lifecycle, Agile vs DevOps, CI/CD overview</t>
        </is>
      </c>
      <c r="D6" s="18" t="inlineStr">
        <is>
          <t>-</t>
        </is>
      </c>
      <c r="E6" s="18" t="inlineStr">
        <is>
          <t>EC2 t3.xlarge</t>
        </is>
      </c>
      <c r="F6" s="18" t="inlineStr">
        <is>
          <t>AWS EC2 (billed hourly, N-hr lab day)</t>
        </is>
      </c>
      <c r="G6" s="19">
        <f>'Assumptions'!$D$13</f>
        <v/>
      </c>
      <c r="H6" s="20">
        <f>G6*'Assumptions'!$B$6</f>
        <v/>
      </c>
      <c r="I6" s="20" t="inlineStr">
        <is>
          <t>-</t>
        </is>
      </c>
      <c r="J6" s="21" t="inlineStr">
        <is>
          <t>-</t>
        </is>
      </c>
      <c r="K6" s="22" t="inlineStr">
        <is>
          <t>-</t>
        </is>
      </c>
      <c r="L6" s="20" t="inlineStr">
        <is>
          <t>-</t>
        </is>
      </c>
      <c r="M6" s="20" t="inlineStr">
        <is>
          <t>-</t>
        </is>
      </c>
    </row>
    <row r="7">
      <c r="A7" s="18" t="inlineStr"/>
      <c r="B7" s="18" t="inlineStr"/>
      <c r="C7" s="18" t="inlineStr">
        <is>
          <t xml:space="preserve">    &gt; Break</t>
        </is>
      </c>
      <c r="D7" s="18" t="inlineStr">
        <is>
          <t>-</t>
        </is>
      </c>
      <c r="E7" s="18" t="inlineStr">
        <is>
          <t>EC2 t3.medium</t>
        </is>
      </c>
      <c r="F7" s="18" t="inlineStr">
        <is>
          <t>AWS EC2 (billed hourly, N-hr lab day)</t>
        </is>
      </c>
      <c r="G7" s="19">
        <f>'Assumptions'!$D$12</f>
        <v/>
      </c>
      <c r="H7" s="20">
        <f>G7*'Assumptions'!$B$6</f>
        <v/>
      </c>
      <c r="I7" s="20" t="inlineStr">
        <is>
          <t>-</t>
        </is>
      </c>
      <c r="J7" s="21" t="inlineStr">
        <is>
          <t>-</t>
        </is>
      </c>
      <c r="K7" s="22" t="inlineStr">
        <is>
          <t>-</t>
        </is>
      </c>
      <c r="L7" s="20" t="inlineStr">
        <is>
          <t>-</t>
        </is>
      </c>
      <c r="M7" s="20" t="inlineStr">
        <is>
          <t>-</t>
        </is>
      </c>
    </row>
    <row r="8">
      <c r="A8" s="23" t="inlineStr"/>
      <c r="B8" s="23" t="inlineStr"/>
      <c r="C8" s="23" t="inlineStr">
        <is>
          <t xml:space="preserve">    &gt; Jira workflow, delivery roles</t>
        </is>
      </c>
      <c r="D8" s="23" t="inlineStr">
        <is>
          <t>-</t>
        </is>
      </c>
      <c r="E8" s="23" t="inlineStr">
        <is>
          <t>Jira</t>
        </is>
      </c>
      <c r="F8" s="23" t="inlineStr">
        <is>
          <t>Free / 3rd-party (not cloud-provider billed)</t>
        </is>
      </c>
      <c r="G8" s="24">
        <f>0</f>
        <v/>
      </c>
      <c r="H8" s="25">
        <f>G8*'Assumptions'!$B$6</f>
        <v/>
      </c>
      <c r="I8" s="25" t="inlineStr">
        <is>
          <t>-</t>
        </is>
      </c>
      <c r="J8" s="26" t="inlineStr">
        <is>
          <t>-</t>
        </is>
      </c>
      <c r="K8" s="27" t="inlineStr">
        <is>
          <t>-</t>
        </is>
      </c>
      <c r="L8" s="25" t="inlineStr">
        <is>
          <t>-</t>
        </is>
      </c>
      <c r="M8" s="25" t="inlineStr">
        <is>
          <t>-</t>
        </is>
      </c>
    </row>
    <row r="9">
      <c r="A9" s="18" t="inlineStr"/>
      <c r="B9" s="18" t="inlineStr"/>
      <c r="C9" s="18" t="inlineStr">
        <is>
          <t xml:space="preserve">    &gt; Knowledge check, use cases, and Q&amp;A for DevOps Orientation, SDLC and Agile Delivery</t>
        </is>
      </c>
      <c r="D9" s="18" t="inlineStr">
        <is>
          <t>-</t>
        </is>
      </c>
      <c r="E9" s="18" t="inlineStr">
        <is>
          <t>EC2 t3.medium</t>
        </is>
      </c>
      <c r="F9" s="18" t="inlineStr">
        <is>
          <t>AWS EC2 (billed hourly, N-hr lab day)</t>
        </is>
      </c>
      <c r="G9" s="19">
        <f>'Assumptions'!$D$12</f>
        <v/>
      </c>
      <c r="H9" s="20">
        <f>G9*'Assumptions'!$B$6</f>
        <v/>
      </c>
      <c r="I9" s="20" t="inlineStr">
        <is>
          <t>-</t>
        </is>
      </c>
      <c r="J9" s="21" t="inlineStr">
        <is>
          <t>-</t>
        </is>
      </c>
      <c r="K9" s="22" t="inlineStr">
        <is>
          <t>-</t>
        </is>
      </c>
      <c r="L9" s="20" t="inlineStr">
        <is>
          <t>-</t>
        </is>
      </c>
      <c r="M9" s="20" t="inlineStr">
        <is>
          <t>-</t>
        </is>
      </c>
    </row>
    <row r="10">
      <c r="A10" s="18" t="inlineStr"/>
      <c r="B10" s="18" t="inlineStr"/>
      <c r="C10" s="18" t="inlineStr">
        <is>
          <t xml:space="preserve">    &gt; DevOps Orientation, SDLC and Agile Delivery hands-on implementation, DevOps Orientation, SDLC and Agile Delivery troubleshooting scenarios, DevOps Orientation, SDLC and Agile Delivery best practices and review</t>
        </is>
      </c>
      <c r="D10" s="18" t="inlineStr">
        <is>
          <t>-</t>
        </is>
      </c>
      <c r="E10" s="18" t="inlineStr">
        <is>
          <t>EC2 t3.medium</t>
        </is>
      </c>
      <c r="F10" s="18" t="inlineStr">
        <is>
          <t>AWS EC2 (billed hourly, N-hr lab day)</t>
        </is>
      </c>
      <c r="G10" s="19">
        <f>'Assumptions'!$D$12</f>
        <v/>
      </c>
      <c r="H10" s="20">
        <f>G10*'Assumptions'!$B$6</f>
        <v/>
      </c>
      <c r="I10" s="20" t="inlineStr">
        <is>
          <t>-</t>
        </is>
      </c>
      <c r="J10" s="21" t="inlineStr">
        <is>
          <t>-</t>
        </is>
      </c>
      <c r="K10" s="22" t="inlineStr">
        <is>
          <t>-</t>
        </is>
      </c>
      <c r="L10" s="20" t="inlineStr">
        <is>
          <t>-</t>
        </is>
      </c>
      <c r="M10" s="20" t="inlineStr">
        <is>
          <t>-</t>
        </is>
      </c>
    </row>
    <row r="11">
      <c r="A11" s="23" t="inlineStr"/>
      <c r="B11" s="23" t="inlineStr"/>
      <c r="C11" s="23" t="inlineStr">
        <is>
          <t xml:space="preserve">    &gt; Lab: Create a Jira sprint board and map a sample application delivery workflow</t>
        </is>
      </c>
      <c r="D11" s="23" t="inlineStr">
        <is>
          <t>-</t>
        </is>
      </c>
      <c r="E11" s="23" t="inlineStr">
        <is>
          <t>Jira</t>
        </is>
      </c>
      <c r="F11" s="23" t="inlineStr">
        <is>
          <t>Free / 3rd-party (not cloud-provider billed)</t>
        </is>
      </c>
      <c r="G11" s="24">
        <f>0</f>
        <v/>
      </c>
      <c r="H11" s="25">
        <f>G11*'Assumptions'!$B$6</f>
        <v/>
      </c>
      <c r="I11" s="25" t="inlineStr">
        <is>
          <t>-</t>
        </is>
      </c>
      <c r="J11" s="26" t="inlineStr">
        <is>
          <t>-</t>
        </is>
      </c>
      <c r="K11" s="27" t="inlineStr">
        <is>
          <t>-</t>
        </is>
      </c>
      <c r="L11" s="25" t="inlineStr">
        <is>
          <t>-</t>
        </is>
      </c>
      <c r="M11" s="25" t="inlineStr">
        <is>
          <t>-</t>
        </is>
      </c>
    </row>
    <row r="12">
      <c r="A12" s="23" t="inlineStr"/>
      <c r="B12" s="23" t="inlineStr"/>
      <c r="C12" s="23" t="inlineStr">
        <is>
          <t xml:space="preserve">    &gt; Jira: Create epics, stories, tasks and move them on sprint board</t>
        </is>
      </c>
      <c r="D12" s="23" t="inlineStr">
        <is>
          <t>-</t>
        </is>
      </c>
      <c r="E12" s="23" t="inlineStr">
        <is>
          <t>Jira</t>
        </is>
      </c>
      <c r="F12" s="23" t="inlineStr">
        <is>
          <t>Free / 3rd-party (not cloud-provider billed)</t>
        </is>
      </c>
      <c r="G12" s="24">
        <f>0</f>
        <v/>
      </c>
      <c r="H12" s="25">
        <f>G12*'Assumptions'!$B$6</f>
        <v/>
      </c>
      <c r="I12" s="25" t="inlineStr">
        <is>
          <t>-</t>
        </is>
      </c>
      <c r="J12" s="26" t="inlineStr">
        <is>
          <t>-</t>
        </is>
      </c>
      <c r="K12" s="27" t="inlineStr">
        <is>
          <t>-</t>
        </is>
      </c>
      <c r="L12" s="25" t="inlineStr">
        <is>
          <t>-</t>
        </is>
      </c>
      <c r="M12" s="25" t="inlineStr">
        <is>
          <t>-</t>
        </is>
      </c>
    </row>
    <row r="13">
      <c r="A13" s="28" t="n">
        <v>2</v>
      </c>
      <c r="B13" s="28" t="inlineStr">
        <is>
          <t>Core Learning</t>
        </is>
      </c>
      <c r="C13" s="28" t="inlineStr">
        <is>
          <t>Networking, SSH and Web Basics</t>
        </is>
      </c>
      <c r="D13" s="28" t="inlineStr">
        <is>
          <t>Day 2</t>
        </is>
      </c>
      <c r="E13" s="28" t="inlineStr">
        <is>
          <t>Jira</t>
        </is>
      </c>
      <c r="F13" s="28" t="inlineStr">
        <is>
          <t>Free / 3rd-party (not cloud-provider billed)</t>
        </is>
      </c>
      <c r="G13" s="29">
        <f>0</f>
        <v/>
      </c>
      <c r="H13" s="30">
        <f>G13*'Assumptions'!$B$6</f>
        <v/>
      </c>
      <c r="I13" s="30">
        <f>G13*'Assumptions'!$B$4*'Assumptions'!$B$6</f>
        <v/>
      </c>
      <c r="J13" s="31">
        <f>1*'Assumptions'!$B$4</f>
        <v/>
      </c>
      <c r="K13" s="32">
        <f>'Assumptions'!$B$5</f>
        <v/>
      </c>
      <c r="L13" s="30">
        <f>G13*J13*'Assumptions'!$B$6</f>
        <v/>
      </c>
      <c r="M13" s="30">
        <f>L13*K13</f>
        <v/>
      </c>
    </row>
    <row r="14">
      <c r="A14" s="18" t="inlineStr"/>
      <c r="B14" s="18" t="inlineStr"/>
      <c r="C14" s="18" t="inlineStr">
        <is>
          <t xml:space="preserve">    &gt; TCP/IP, DNS, HTTP/HTTPS</t>
        </is>
      </c>
      <c r="D14" s="18" t="inlineStr">
        <is>
          <t>-</t>
        </is>
      </c>
      <c r="E14" s="18" t="inlineStr">
        <is>
          <t>EC2 t3.medium</t>
        </is>
      </c>
      <c r="F14" s="18" t="inlineStr">
        <is>
          <t>Free / 3rd-party (not cloud-provider billed)</t>
        </is>
      </c>
      <c r="G14" s="19">
        <f>'Assumptions'!$D$12</f>
        <v/>
      </c>
      <c r="H14" s="20">
        <f>G14*'Assumptions'!$B$6</f>
        <v/>
      </c>
      <c r="I14" s="20" t="inlineStr">
        <is>
          <t>-</t>
        </is>
      </c>
      <c r="J14" s="21" t="inlineStr">
        <is>
          <t>-</t>
        </is>
      </c>
      <c r="K14" s="22" t="inlineStr">
        <is>
          <t>-</t>
        </is>
      </c>
      <c r="L14" s="20" t="inlineStr">
        <is>
          <t>-</t>
        </is>
      </c>
      <c r="M14" s="20" t="inlineStr">
        <is>
          <t>-</t>
        </is>
      </c>
    </row>
    <row r="15">
      <c r="A15" s="18" t="inlineStr"/>
      <c r="B15" s="18" t="inlineStr"/>
      <c r="C15" s="18" t="inlineStr">
        <is>
          <t xml:space="preserve">    &gt; Break</t>
        </is>
      </c>
      <c r="D15" s="18" t="inlineStr">
        <is>
          <t>-</t>
        </is>
      </c>
      <c r="E15" s="18" t="inlineStr">
        <is>
          <t>EC2 t3.medium</t>
        </is>
      </c>
      <c r="F15" s="18" t="inlineStr">
        <is>
          <t>Free / 3rd-party (not cloud-provider billed)</t>
        </is>
      </c>
      <c r="G15" s="19">
        <f>'Assumptions'!$D$12</f>
        <v/>
      </c>
      <c r="H15" s="20">
        <f>G15*'Assumptions'!$B$6</f>
        <v/>
      </c>
      <c r="I15" s="20" t="inlineStr">
        <is>
          <t>-</t>
        </is>
      </c>
      <c r="J15" s="21" t="inlineStr">
        <is>
          <t>-</t>
        </is>
      </c>
      <c r="K15" s="22" t="inlineStr">
        <is>
          <t>-</t>
        </is>
      </c>
      <c r="L15" s="20" t="inlineStr">
        <is>
          <t>-</t>
        </is>
      </c>
      <c r="M15" s="20" t="inlineStr">
        <is>
          <t>-</t>
        </is>
      </c>
    </row>
    <row r="16">
      <c r="A16" s="18" t="inlineStr"/>
      <c r="B16" s="18" t="inlineStr"/>
      <c r="C16" s="18" t="inlineStr">
        <is>
          <t xml:space="preserve">    &gt; ports, SSH</t>
        </is>
      </c>
      <c r="D16" s="18" t="inlineStr">
        <is>
          <t>-</t>
        </is>
      </c>
      <c r="E16" s="18" t="inlineStr">
        <is>
          <t>EC2 t3.medium</t>
        </is>
      </c>
      <c r="F16" s="18" t="inlineStr">
        <is>
          <t>Free / 3rd-party (not cloud-provider billed)</t>
        </is>
      </c>
      <c r="G16" s="19">
        <f>'Assumptions'!$D$12</f>
        <v/>
      </c>
      <c r="H16" s="20">
        <f>G16*'Assumptions'!$B$6</f>
        <v/>
      </c>
      <c r="I16" s="20" t="inlineStr">
        <is>
          <t>-</t>
        </is>
      </c>
      <c r="J16" s="21" t="inlineStr">
        <is>
          <t>-</t>
        </is>
      </c>
      <c r="K16" s="22" t="inlineStr">
        <is>
          <t>-</t>
        </is>
      </c>
      <c r="L16" s="20" t="inlineStr">
        <is>
          <t>-</t>
        </is>
      </c>
      <c r="M16" s="20" t="inlineStr">
        <is>
          <t>-</t>
        </is>
      </c>
    </row>
    <row r="17">
      <c r="A17" s="18" t="inlineStr"/>
      <c r="B17" s="18" t="inlineStr"/>
      <c r="C17" s="18" t="inlineStr">
        <is>
          <t xml:space="preserve">    &gt; Knowledge check, use cases, and Q&amp;A for Networking, SSH and Web Basics</t>
        </is>
      </c>
      <c r="D17" s="18" t="inlineStr">
        <is>
          <t>-</t>
        </is>
      </c>
      <c r="E17" s="18" t="inlineStr">
        <is>
          <t>EC2 t3.medium</t>
        </is>
      </c>
      <c r="F17" s="18" t="inlineStr">
        <is>
          <t>Free / 3rd-party (not cloud-provider billed)</t>
        </is>
      </c>
      <c r="G17" s="19">
        <f>'Assumptions'!$D$12</f>
        <v/>
      </c>
      <c r="H17" s="20">
        <f>G17*'Assumptions'!$B$6</f>
        <v/>
      </c>
      <c r="I17" s="20" t="inlineStr">
        <is>
          <t>-</t>
        </is>
      </c>
      <c r="J17" s="21" t="inlineStr">
        <is>
          <t>-</t>
        </is>
      </c>
      <c r="K17" s="22" t="inlineStr">
        <is>
          <t>-</t>
        </is>
      </c>
      <c r="L17" s="20" t="inlineStr">
        <is>
          <t>-</t>
        </is>
      </c>
      <c r="M17" s="20" t="inlineStr">
        <is>
          <t>-</t>
        </is>
      </c>
    </row>
    <row r="18">
      <c r="A18" s="18" t="inlineStr"/>
      <c r="B18" s="18" t="inlineStr"/>
      <c r="C18" s="18" t="inlineStr">
        <is>
          <t xml:space="preserve">    &gt; curl troubleshooting, Networking, SSH and Web Basics hands-on implementation, Networking, SSH and Web Basics troubleshooting scenarios</t>
        </is>
      </c>
      <c r="D18" s="18" t="inlineStr">
        <is>
          <t>-</t>
        </is>
      </c>
      <c r="E18" s="18" t="inlineStr">
        <is>
          <t>EC2 t3.medium</t>
        </is>
      </c>
      <c r="F18" s="18" t="inlineStr">
        <is>
          <t>Free / 3rd-party (not cloud-provider billed)</t>
        </is>
      </c>
      <c r="G18" s="19">
        <f>'Assumptions'!$D$12</f>
        <v/>
      </c>
      <c r="H18" s="20">
        <f>G18*'Assumptions'!$B$6</f>
        <v/>
      </c>
      <c r="I18" s="20" t="inlineStr">
        <is>
          <t>-</t>
        </is>
      </c>
      <c r="J18" s="21" t="inlineStr">
        <is>
          <t>-</t>
        </is>
      </c>
      <c r="K18" s="22" t="inlineStr">
        <is>
          <t>-</t>
        </is>
      </c>
      <c r="L18" s="20" t="inlineStr">
        <is>
          <t>-</t>
        </is>
      </c>
      <c r="M18" s="20" t="inlineStr">
        <is>
          <t>-</t>
        </is>
      </c>
    </row>
    <row r="19">
      <c r="A19" s="18" t="inlineStr"/>
      <c r="B19" s="18" t="inlineStr"/>
      <c r="C19" s="18" t="inlineStr">
        <is>
          <t xml:space="preserve">    &gt; Lab: Troubleshoot service connectivity using curl, ports and SSH</t>
        </is>
      </c>
      <c r="D19" s="18" t="inlineStr">
        <is>
          <t>-</t>
        </is>
      </c>
      <c r="E19" s="18" t="inlineStr">
        <is>
          <t>EC2 t3.medium</t>
        </is>
      </c>
      <c r="F19" s="18" t="inlineStr">
        <is>
          <t>Free / 3rd-party (not cloud-provider billed)</t>
        </is>
      </c>
      <c r="G19" s="19">
        <f>'Assumptions'!$D$12</f>
        <v/>
      </c>
      <c r="H19" s="20">
        <f>G19*'Assumptions'!$B$6</f>
        <v/>
      </c>
      <c r="I19" s="20" t="inlineStr">
        <is>
          <t>-</t>
        </is>
      </c>
      <c r="J19" s="21" t="inlineStr">
        <is>
          <t>-</t>
        </is>
      </c>
      <c r="K19" s="22" t="inlineStr">
        <is>
          <t>-</t>
        </is>
      </c>
      <c r="L19" s="20" t="inlineStr">
        <is>
          <t>-</t>
        </is>
      </c>
      <c r="M19" s="20" t="inlineStr">
        <is>
          <t>-</t>
        </is>
      </c>
    </row>
    <row r="20">
      <c r="A20" s="23" t="inlineStr"/>
      <c r="B20" s="23" t="inlineStr"/>
      <c r="C20" s="23" t="inlineStr">
        <is>
          <t xml:space="preserve">    &gt; Jira: Create troubleshooting sub-tasks for network incidents</t>
        </is>
      </c>
      <c r="D20" s="23" t="inlineStr">
        <is>
          <t>-</t>
        </is>
      </c>
      <c r="E20" s="23" t="inlineStr">
        <is>
          <t>Jira</t>
        </is>
      </c>
      <c r="F20" s="23" t="inlineStr">
        <is>
          <t>Free / 3rd-party (not cloud-provider billed)</t>
        </is>
      </c>
      <c r="G20" s="24">
        <f>0</f>
        <v/>
      </c>
      <c r="H20" s="25">
        <f>G20*'Assumptions'!$B$6</f>
        <v/>
      </c>
      <c r="I20" s="25" t="inlineStr">
        <is>
          <t>-</t>
        </is>
      </c>
      <c r="J20" s="26" t="inlineStr">
        <is>
          <t>-</t>
        </is>
      </c>
      <c r="K20" s="27" t="inlineStr">
        <is>
          <t>-</t>
        </is>
      </c>
      <c r="L20" s="25" t="inlineStr">
        <is>
          <t>-</t>
        </is>
      </c>
      <c r="M20" s="25" t="inlineStr">
        <is>
          <t>-</t>
        </is>
      </c>
    </row>
    <row r="21">
      <c r="A21" s="13" t="n">
        <v>3</v>
      </c>
      <c r="B21" s="13" t="inlineStr">
        <is>
          <t>Core Learning</t>
        </is>
      </c>
      <c r="C21" s="13" t="inlineStr">
        <is>
          <t>Jenkins Fundamentals</t>
        </is>
      </c>
      <c r="D21" s="13" t="inlineStr">
        <is>
          <t>Day 3</t>
        </is>
      </c>
      <c r="E21" s="13" t="inlineStr">
        <is>
          <t>EC2 t3.xlarge</t>
        </is>
      </c>
      <c r="F21" s="13" t="inlineStr">
        <is>
          <t>AWS EC2 (billed hourly, N-hr lab day)</t>
        </is>
      </c>
      <c r="G21" s="14">
        <f>'Assumptions'!$D$13</f>
        <v/>
      </c>
      <c r="H21" s="15">
        <f>G21*'Assumptions'!$B$6</f>
        <v/>
      </c>
      <c r="I21" s="15">
        <f>G21*'Assumptions'!$B$4*'Assumptions'!$B$6</f>
        <v/>
      </c>
      <c r="J21" s="16">
        <f>1*'Assumptions'!$B$4</f>
        <v/>
      </c>
      <c r="K21" s="17">
        <f>'Assumptions'!$B$5</f>
        <v/>
      </c>
      <c r="L21" s="15">
        <f>G21*J21*'Assumptions'!$B$6</f>
        <v/>
      </c>
      <c r="M21" s="15">
        <f>L21*K21</f>
        <v/>
      </c>
    </row>
    <row r="22">
      <c r="A22" s="18" t="inlineStr"/>
      <c r="B22" s="18" t="inlineStr"/>
      <c r="C22" s="18" t="inlineStr">
        <is>
          <t xml:space="preserve">    &gt; installation, jobs, agents</t>
        </is>
      </c>
      <c r="D22" s="18" t="inlineStr">
        <is>
          <t>-</t>
        </is>
      </c>
      <c r="E22" s="18" t="inlineStr">
        <is>
          <t>EC2 t3.medium</t>
        </is>
      </c>
      <c r="F22" s="18" t="inlineStr">
        <is>
          <t>AWS EC2 (billed hourly, N-hr lab day)</t>
        </is>
      </c>
      <c r="G22" s="19">
        <f>'Assumptions'!$D$12</f>
        <v/>
      </c>
      <c r="H22" s="20">
        <f>G22*'Assumptions'!$B$6</f>
        <v/>
      </c>
      <c r="I22" s="20" t="inlineStr">
        <is>
          <t>-</t>
        </is>
      </c>
      <c r="J22" s="21" t="inlineStr">
        <is>
          <t>-</t>
        </is>
      </c>
      <c r="K22" s="22" t="inlineStr">
        <is>
          <t>-</t>
        </is>
      </c>
      <c r="L22" s="20" t="inlineStr">
        <is>
          <t>-</t>
        </is>
      </c>
      <c r="M22" s="20" t="inlineStr">
        <is>
          <t>-</t>
        </is>
      </c>
    </row>
    <row r="23">
      <c r="A23" s="18" t="inlineStr"/>
      <c r="B23" s="18" t="inlineStr"/>
      <c r="C23" s="18" t="inlineStr">
        <is>
          <t xml:space="preserve">    &gt; Break</t>
        </is>
      </c>
      <c r="D23" s="18" t="inlineStr">
        <is>
          <t>-</t>
        </is>
      </c>
      <c r="E23" s="18" t="inlineStr">
        <is>
          <t>EC2 t3.medium</t>
        </is>
      </c>
      <c r="F23" s="18" t="inlineStr">
        <is>
          <t>AWS EC2 (billed hourly, N-hr lab day)</t>
        </is>
      </c>
      <c r="G23" s="19">
        <f>'Assumptions'!$D$12</f>
        <v/>
      </c>
      <c r="H23" s="20">
        <f>G23*'Assumptions'!$B$6</f>
        <v/>
      </c>
      <c r="I23" s="20" t="inlineStr">
        <is>
          <t>-</t>
        </is>
      </c>
      <c r="J23" s="21" t="inlineStr">
        <is>
          <t>-</t>
        </is>
      </c>
      <c r="K23" s="22" t="inlineStr">
        <is>
          <t>-</t>
        </is>
      </c>
      <c r="L23" s="20" t="inlineStr">
        <is>
          <t>-</t>
        </is>
      </c>
      <c r="M23" s="20" t="inlineStr">
        <is>
          <t>-</t>
        </is>
      </c>
    </row>
    <row r="24">
      <c r="A24" s="18" t="inlineStr"/>
      <c r="B24" s="18" t="inlineStr"/>
      <c r="C24" s="18" t="inlineStr">
        <is>
          <t xml:space="preserve">    &gt; credentials, plugins</t>
        </is>
      </c>
      <c r="D24" s="18" t="inlineStr">
        <is>
          <t>-</t>
        </is>
      </c>
      <c r="E24" s="18" t="inlineStr">
        <is>
          <t>EC2 t3.medium</t>
        </is>
      </c>
      <c r="F24" s="18" t="inlineStr">
        <is>
          <t>AWS EC2 (billed hourly, N-hr lab day)</t>
        </is>
      </c>
      <c r="G24" s="19">
        <f>'Assumptions'!$D$12</f>
        <v/>
      </c>
      <c r="H24" s="20">
        <f>G24*'Assumptions'!$B$6</f>
        <v/>
      </c>
      <c r="I24" s="20" t="inlineStr">
        <is>
          <t>-</t>
        </is>
      </c>
      <c r="J24" s="21" t="inlineStr">
        <is>
          <t>-</t>
        </is>
      </c>
      <c r="K24" s="22" t="inlineStr">
        <is>
          <t>-</t>
        </is>
      </c>
      <c r="L24" s="20" t="inlineStr">
        <is>
          <t>-</t>
        </is>
      </c>
      <c r="M24" s="20" t="inlineStr">
        <is>
          <t>-</t>
        </is>
      </c>
    </row>
    <row r="25">
      <c r="A25" s="18" t="inlineStr"/>
      <c r="B25" s="18" t="inlineStr"/>
      <c r="C25" s="18" t="inlineStr">
        <is>
          <t xml:space="preserve">    &gt; Knowledge check, use cases, and Q&amp;A for Jenkins Fundamentals</t>
        </is>
      </c>
      <c r="D25" s="18" t="inlineStr">
        <is>
          <t>-</t>
        </is>
      </c>
      <c r="E25" s="18" t="inlineStr">
        <is>
          <t>EC2 t3.xlarge</t>
        </is>
      </c>
      <c r="F25" s="18" t="inlineStr">
        <is>
          <t>AWS EC2 (billed hourly, N-hr lab day)</t>
        </is>
      </c>
      <c r="G25" s="19">
        <f>'Assumptions'!$D$13</f>
        <v/>
      </c>
      <c r="H25" s="20">
        <f>G25*'Assumptions'!$B$6</f>
        <v/>
      </c>
      <c r="I25" s="20" t="inlineStr">
        <is>
          <t>-</t>
        </is>
      </c>
      <c r="J25" s="21" t="inlineStr">
        <is>
          <t>-</t>
        </is>
      </c>
      <c r="K25" s="22" t="inlineStr">
        <is>
          <t>-</t>
        </is>
      </c>
      <c r="L25" s="20" t="inlineStr">
        <is>
          <t>-</t>
        </is>
      </c>
      <c r="M25" s="20" t="inlineStr">
        <is>
          <t>-</t>
        </is>
      </c>
    </row>
    <row r="26">
      <c r="A26" s="18" t="inlineStr"/>
      <c r="B26" s="18" t="inlineStr"/>
      <c r="C26" s="18" t="inlineStr">
        <is>
          <t xml:space="preserve">    &gt; build triggers, Jenkins Fundamentals hands-on implementation, Jenkins Fundamentals troubleshooting scenarios</t>
        </is>
      </c>
      <c r="D26" s="18" t="inlineStr">
        <is>
          <t>-</t>
        </is>
      </c>
      <c r="E26" s="18" t="inlineStr">
        <is>
          <t>EC2 t3.xlarge</t>
        </is>
      </c>
      <c r="F26" s="18" t="inlineStr">
        <is>
          <t>AWS EC2 (billed hourly, N-hr lab day)</t>
        </is>
      </c>
      <c r="G26" s="19">
        <f>'Assumptions'!$D$13</f>
        <v/>
      </c>
      <c r="H26" s="20">
        <f>G26*'Assumptions'!$B$6</f>
        <v/>
      </c>
      <c r="I26" s="20" t="inlineStr">
        <is>
          <t>-</t>
        </is>
      </c>
      <c r="J26" s="21" t="inlineStr">
        <is>
          <t>-</t>
        </is>
      </c>
      <c r="K26" s="22" t="inlineStr">
        <is>
          <t>-</t>
        </is>
      </c>
      <c r="L26" s="20" t="inlineStr">
        <is>
          <t>-</t>
        </is>
      </c>
      <c r="M26" s="20" t="inlineStr">
        <is>
          <t>-</t>
        </is>
      </c>
    </row>
    <row r="27">
      <c r="A27" s="18" t="inlineStr"/>
      <c r="B27" s="18" t="inlineStr"/>
      <c r="C27" s="18" t="inlineStr">
        <is>
          <t xml:space="preserve">    &gt; Lab: Create Jenkins freestyle and pipeline jobs from Git repository</t>
        </is>
      </c>
      <c r="D27" s="18" t="inlineStr">
        <is>
          <t>-</t>
        </is>
      </c>
      <c r="E27" s="18" t="inlineStr">
        <is>
          <t>EC2 t3.xlarge</t>
        </is>
      </c>
      <c r="F27" s="18" t="inlineStr">
        <is>
          <t>AWS EC2 (billed hourly, N-hr lab day)</t>
        </is>
      </c>
      <c r="G27" s="19">
        <f>'Assumptions'!$D$13</f>
        <v/>
      </c>
      <c r="H27" s="20">
        <f>G27*'Assumptions'!$B$6</f>
        <v/>
      </c>
      <c r="I27" s="20" t="inlineStr">
        <is>
          <t>-</t>
        </is>
      </c>
      <c r="J27" s="21" t="inlineStr">
        <is>
          <t>-</t>
        </is>
      </c>
      <c r="K27" s="22" t="inlineStr">
        <is>
          <t>-</t>
        </is>
      </c>
      <c r="L27" s="20" t="inlineStr">
        <is>
          <t>-</t>
        </is>
      </c>
      <c r="M27" s="20" t="inlineStr">
        <is>
          <t>-</t>
        </is>
      </c>
    </row>
    <row r="28">
      <c r="A28" s="18" t="inlineStr"/>
      <c r="B28" s="18" t="inlineStr"/>
      <c r="C28" s="18" t="inlineStr">
        <is>
          <t xml:space="preserve">    &gt; Jira: Create CI task and record Jenkins build URL</t>
        </is>
      </c>
      <c r="D28" s="18" t="inlineStr">
        <is>
          <t>-</t>
        </is>
      </c>
      <c r="E28" s="18" t="inlineStr">
        <is>
          <t>EC2 t3.xlarge</t>
        </is>
      </c>
      <c r="F28" s="18" t="inlineStr">
        <is>
          <t>AWS EC2 (billed hourly, N-hr lab day)</t>
        </is>
      </c>
      <c r="G28" s="19">
        <f>'Assumptions'!$D$13</f>
        <v/>
      </c>
      <c r="H28" s="20">
        <f>G28*'Assumptions'!$B$6</f>
        <v/>
      </c>
      <c r="I28" s="20" t="inlineStr">
        <is>
          <t>-</t>
        </is>
      </c>
      <c r="J28" s="21" t="inlineStr">
        <is>
          <t>-</t>
        </is>
      </c>
      <c r="K28" s="22" t="inlineStr">
        <is>
          <t>-</t>
        </is>
      </c>
      <c r="L28" s="20" t="inlineStr">
        <is>
          <t>-</t>
        </is>
      </c>
      <c r="M28" s="20" t="inlineStr">
        <is>
          <t>-</t>
        </is>
      </c>
    </row>
    <row r="29">
      <c r="A29" s="13" t="n">
        <v>4</v>
      </c>
      <c r="B29" s="13" t="inlineStr">
        <is>
          <t>Core Learning</t>
        </is>
      </c>
      <c r="C29" s="13" t="inlineStr">
        <is>
          <t>Docker Compose and Multi-Container Apps</t>
        </is>
      </c>
      <c r="D29" s="13" t="inlineStr">
        <is>
          <t>Day 4</t>
        </is>
      </c>
      <c r="E29" s="13" t="inlineStr">
        <is>
          <t>EC2 t3.xlarge</t>
        </is>
      </c>
      <c r="F29" s="13" t="inlineStr">
        <is>
          <t>AWS EC2 (billed hourly, N-hr lab day)</t>
        </is>
      </c>
      <c r="G29" s="14">
        <f>'Assumptions'!$D$13</f>
        <v/>
      </c>
      <c r="H29" s="15">
        <f>G29*'Assumptions'!$B$6</f>
        <v/>
      </c>
      <c r="I29" s="15">
        <f>G29*'Assumptions'!$B$4*'Assumptions'!$B$6</f>
        <v/>
      </c>
      <c r="J29" s="16">
        <f>1*'Assumptions'!$B$4</f>
        <v/>
      </c>
      <c r="K29" s="17">
        <f>'Assumptions'!$B$5</f>
        <v/>
      </c>
      <c r="L29" s="15">
        <f>G29*J29*'Assumptions'!$B$6</f>
        <v/>
      </c>
      <c r="M29" s="15">
        <f>L29*K29</f>
        <v/>
      </c>
    </row>
    <row r="30">
      <c r="A30" s="18" t="inlineStr"/>
      <c r="B30" s="18" t="inlineStr"/>
      <c r="C30" s="18" t="inlineStr">
        <is>
          <t xml:space="preserve">    &gt; compose services, networks, volumes</t>
        </is>
      </c>
      <c r="D30" s="18" t="inlineStr">
        <is>
          <t>-</t>
        </is>
      </c>
      <c r="E30" s="18" t="inlineStr">
        <is>
          <t>EC2 t3.medium</t>
        </is>
      </c>
      <c r="F30" s="18" t="inlineStr">
        <is>
          <t>AWS EC2 (billed hourly, N-hr lab day)</t>
        </is>
      </c>
      <c r="G30" s="19">
        <f>'Assumptions'!$D$12</f>
        <v/>
      </c>
      <c r="H30" s="20">
        <f>G30*'Assumptions'!$B$6</f>
        <v/>
      </c>
      <c r="I30" s="20" t="inlineStr">
        <is>
          <t>-</t>
        </is>
      </c>
      <c r="J30" s="21" t="inlineStr">
        <is>
          <t>-</t>
        </is>
      </c>
      <c r="K30" s="22" t="inlineStr">
        <is>
          <t>-</t>
        </is>
      </c>
      <c r="L30" s="20" t="inlineStr">
        <is>
          <t>-</t>
        </is>
      </c>
      <c r="M30" s="20" t="inlineStr">
        <is>
          <t>-</t>
        </is>
      </c>
    </row>
    <row r="31">
      <c r="A31" s="18" t="inlineStr"/>
      <c r="B31" s="18" t="inlineStr"/>
      <c r="C31" s="18" t="inlineStr">
        <is>
          <t xml:space="preserve">    &gt; Break</t>
        </is>
      </c>
      <c r="D31" s="18" t="inlineStr">
        <is>
          <t>-</t>
        </is>
      </c>
      <c r="E31" s="18" t="inlineStr">
        <is>
          <t>EC2 t3.medium</t>
        </is>
      </c>
      <c r="F31" s="18" t="inlineStr">
        <is>
          <t>AWS EC2 (billed hourly, N-hr lab day)</t>
        </is>
      </c>
      <c r="G31" s="19">
        <f>'Assumptions'!$D$12</f>
        <v/>
      </c>
      <c r="H31" s="20">
        <f>G31*'Assumptions'!$B$6</f>
        <v/>
      </c>
      <c r="I31" s="20" t="inlineStr">
        <is>
          <t>-</t>
        </is>
      </c>
      <c r="J31" s="21" t="inlineStr">
        <is>
          <t>-</t>
        </is>
      </c>
      <c r="K31" s="22" t="inlineStr">
        <is>
          <t>-</t>
        </is>
      </c>
      <c r="L31" s="20" t="inlineStr">
        <is>
          <t>-</t>
        </is>
      </c>
      <c r="M31" s="20" t="inlineStr">
        <is>
          <t>-</t>
        </is>
      </c>
    </row>
    <row r="32">
      <c r="A32" s="18" t="inlineStr"/>
      <c r="B32" s="18" t="inlineStr"/>
      <c r="C32" s="18" t="inlineStr">
        <is>
          <t xml:space="preserve">    &gt; environment variables, health checks</t>
        </is>
      </c>
      <c r="D32" s="18" t="inlineStr">
        <is>
          <t>-</t>
        </is>
      </c>
      <c r="E32" s="18" t="inlineStr">
        <is>
          <t>EC2 t3.medium</t>
        </is>
      </c>
      <c r="F32" s="18" t="inlineStr">
        <is>
          <t>AWS EC2 (billed hourly, N-hr lab day)</t>
        </is>
      </c>
      <c r="G32" s="19">
        <f>'Assumptions'!$D$12</f>
        <v/>
      </c>
      <c r="H32" s="20">
        <f>G32*'Assumptions'!$B$6</f>
        <v/>
      </c>
      <c r="I32" s="20" t="inlineStr">
        <is>
          <t>-</t>
        </is>
      </c>
      <c r="J32" s="21" t="inlineStr">
        <is>
          <t>-</t>
        </is>
      </c>
      <c r="K32" s="22" t="inlineStr">
        <is>
          <t>-</t>
        </is>
      </c>
      <c r="L32" s="20" t="inlineStr">
        <is>
          <t>-</t>
        </is>
      </c>
      <c r="M32" s="20" t="inlineStr">
        <is>
          <t>-</t>
        </is>
      </c>
    </row>
    <row r="33">
      <c r="A33" s="18" t="inlineStr"/>
      <c r="B33" s="18" t="inlineStr"/>
      <c r="C33" s="18" t="inlineStr">
        <is>
          <t xml:space="preserve">    &gt; Knowledge check, use cases, and Q&amp;A for Docker Compose and Multi-Container Apps</t>
        </is>
      </c>
      <c r="D33" s="18" t="inlineStr">
        <is>
          <t>-</t>
        </is>
      </c>
      <c r="E33" s="18" t="inlineStr">
        <is>
          <t>EC2 t3.xlarge</t>
        </is>
      </c>
      <c r="F33" s="18" t="inlineStr">
        <is>
          <t>AWS EC2 (billed hourly, N-hr lab day)</t>
        </is>
      </c>
      <c r="G33" s="19">
        <f>'Assumptions'!$D$13</f>
        <v/>
      </c>
      <c r="H33" s="20">
        <f>G33*'Assumptions'!$B$6</f>
        <v/>
      </c>
      <c r="I33" s="20" t="inlineStr">
        <is>
          <t>-</t>
        </is>
      </c>
      <c r="J33" s="21" t="inlineStr">
        <is>
          <t>-</t>
        </is>
      </c>
      <c r="K33" s="22" t="inlineStr">
        <is>
          <t>-</t>
        </is>
      </c>
      <c r="L33" s="20" t="inlineStr">
        <is>
          <t>-</t>
        </is>
      </c>
      <c r="M33" s="20" t="inlineStr">
        <is>
          <t>-</t>
        </is>
      </c>
    </row>
    <row r="34">
      <c r="A34" s="18" t="inlineStr"/>
      <c r="B34" s="18" t="inlineStr"/>
      <c r="C34" s="18" t="inlineStr">
        <is>
          <t xml:space="preserve">    &gt; Docker Compose and Multi-Container Apps hands-on implementation, Docker Compose and Multi-Container Apps troubleshooting scenarios, Docker Compose and Multi-Container Apps best practices and review</t>
        </is>
      </c>
      <c r="D34" s="18" t="inlineStr">
        <is>
          <t>-</t>
        </is>
      </c>
      <c r="E34" s="18" t="inlineStr">
        <is>
          <t>EC2 t3.xlarge</t>
        </is>
      </c>
      <c r="F34" s="18" t="inlineStr">
        <is>
          <t>AWS EC2 (billed hourly, N-hr lab day)</t>
        </is>
      </c>
      <c r="G34" s="19">
        <f>'Assumptions'!$D$13</f>
        <v/>
      </c>
      <c r="H34" s="20">
        <f>G34*'Assumptions'!$B$6</f>
        <v/>
      </c>
      <c r="I34" s="20" t="inlineStr">
        <is>
          <t>-</t>
        </is>
      </c>
      <c r="J34" s="21" t="inlineStr">
        <is>
          <t>-</t>
        </is>
      </c>
      <c r="K34" s="22" t="inlineStr">
        <is>
          <t>-</t>
        </is>
      </c>
      <c r="L34" s="20" t="inlineStr">
        <is>
          <t>-</t>
        </is>
      </c>
      <c r="M34" s="20" t="inlineStr">
        <is>
          <t>-</t>
        </is>
      </c>
    </row>
    <row r="35">
      <c r="A35" s="18" t="inlineStr"/>
      <c r="B35" s="18" t="inlineStr"/>
      <c r="C35" s="18" t="inlineStr">
        <is>
          <t xml:space="preserve">    &gt; Lab: Run app, database and cache using Docker Compose</t>
        </is>
      </c>
      <c r="D35" s="18" t="inlineStr">
        <is>
          <t>-</t>
        </is>
      </c>
      <c r="E35" s="18" t="inlineStr">
        <is>
          <t>EC2 t3.xlarge</t>
        </is>
      </c>
      <c r="F35" s="18" t="inlineStr">
        <is>
          <t>AWS EC2 (billed hourly, N-hr lab day)</t>
        </is>
      </c>
      <c r="G35" s="19">
        <f>'Assumptions'!$D$13</f>
        <v/>
      </c>
      <c r="H35" s="20">
        <f>G35*'Assumptions'!$B$6</f>
        <v/>
      </c>
      <c r="I35" s="20" t="inlineStr">
        <is>
          <t>-</t>
        </is>
      </c>
      <c r="J35" s="21" t="inlineStr">
        <is>
          <t>-</t>
        </is>
      </c>
      <c r="K35" s="22" t="inlineStr">
        <is>
          <t>-</t>
        </is>
      </c>
      <c r="L35" s="20" t="inlineStr">
        <is>
          <t>-</t>
        </is>
      </c>
      <c r="M35" s="20" t="inlineStr">
        <is>
          <t>-</t>
        </is>
      </c>
    </row>
    <row r="36">
      <c r="A36" s="23" t="inlineStr"/>
      <c r="B36" s="23" t="inlineStr"/>
      <c r="C36" s="23" t="inlineStr">
        <is>
          <t xml:space="preserve">    &gt; Jira: Track compose setup issues and resolution comments</t>
        </is>
      </c>
      <c r="D36" s="23" t="inlineStr">
        <is>
          <t>-</t>
        </is>
      </c>
      <c r="E36" s="23" t="inlineStr">
        <is>
          <t>Jira</t>
        </is>
      </c>
      <c r="F36" s="23" t="inlineStr">
        <is>
          <t>Free / 3rd-party (not cloud-provider billed)</t>
        </is>
      </c>
      <c r="G36" s="24">
        <f>0</f>
        <v/>
      </c>
      <c r="H36" s="25">
        <f>G36*'Assumptions'!$B$6</f>
        <v/>
      </c>
      <c r="I36" s="25" t="inlineStr">
        <is>
          <t>-</t>
        </is>
      </c>
      <c r="J36" s="26" t="inlineStr">
        <is>
          <t>-</t>
        </is>
      </c>
      <c r="K36" s="27" t="inlineStr">
        <is>
          <t>-</t>
        </is>
      </c>
      <c r="L36" s="25" t="inlineStr">
        <is>
          <t>-</t>
        </is>
      </c>
      <c r="M36" s="25" t="inlineStr">
        <is>
          <t>-</t>
        </is>
      </c>
    </row>
    <row r="37">
      <c r="A37" s="13" t="n">
        <v>5</v>
      </c>
      <c r="B37" s="13" t="inlineStr">
        <is>
          <t>Core Learning</t>
        </is>
      </c>
      <c r="C37" s="13" t="inlineStr">
        <is>
          <t>Kubernetes Workloads and Services</t>
        </is>
      </c>
      <c r="D37" s="13" t="inlineStr">
        <is>
          <t>Day 5</t>
        </is>
      </c>
      <c r="E37" s="13" t="inlineStr">
        <is>
          <t>EC2 t3.xlarge</t>
        </is>
      </c>
      <c r="F37" s="13" t="inlineStr">
        <is>
          <t>AWS EC2 (billed hourly, N-hr lab day)</t>
        </is>
      </c>
      <c r="G37" s="14">
        <f>'Assumptions'!$D$13</f>
        <v/>
      </c>
      <c r="H37" s="15">
        <f>G37*'Assumptions'!$B$6</f>
        <v/>
      </c>
      <c r="I37" s="15">
        <f>G37*'Assumptions'!$B$4*'Assumptions'!$B$6</f>
        <v/>
      </c>
      <c r="J37" s="16">
        <f>1*'Assumptions'!$B$4</f>
        <v/>
      </c>
      <c r="K37" s="17">
        <f>'Assumptions'!$B$5</f>
        <v/>
      </c>
      <c r="L37" s="15">
        <f>G37*J37*'Assumptions'!$B$6</f>
        <v/>
      </c>
      <c r="M37" s="15">
        <f>L37*K37</f>
        <v/>
      </c>
    </row>
    <row r="38">
      <c r="A38" s="18" t="inlineStr"/>
      <c r="B38" s="18" t="inlineStr"/>
      <c r="C38" s="18" t="inlineStr">
        <is>
          <t xml:space="preserve">    &gt; deployments, services, ingress</t>
        </is>
      </c>
      <c r="D38" s="18" t="inlineStr">
        <is>
          <t>-</t>
        </is>
      </c>
      <c r="E38" s="18" t="inlineStr">
        <is>
          <t>EC2 t3.medium</t>
        </is>
      </c>
      <c r="F38" s="18" t="inlineStr">
        <is>
          <t>AWS EC2 (billed hourly, N-hr lab day)</t>
        </is>
      </c>
      <c r="G38" s="19">
        <f>'Assumptions'!$D$12</f>
        <v/>
      </c>
      <c r="H38" s="20">
        <f>G38*'Assumptions'!$B$6</f>
        <v/>
      </c>
      <c r="I38" s="20" t="inlineStr">
        <is>
          <t>-</t>
        </is>
      </c>
      <c r="J38" s="21" t="inlineStr">
        <is>
          <t>-</t>
        </is>
      </c>
      <c r="K38" s="22" t="inlineStr">
        <is>
          <t>-</t>
        </is>
      </c>
      <c r="L38" s="20" t="inlineStr">
        <is>
          <t>-</t>
        </is>
      </c>
      <c r="M38" s="20" t="inlineStr">
        <is>
          <t>-</t>
        </is>
      </c>
    </row>
    <row r="39">
      <c r="A39" s="18" t="inlineStr"/>
      <c r="B39" s="18" t="inlineStr"/>
      <c r="C39" s="18" t="inlineStr">
        <is>
          <t xml:space="preserve">    &gt; Break</t>
        </is>
      </c>
      <c r="D39" s="18" t="inlineStr">
        <is>
          <t>-</t>
        </is>
      </c>
      <c r="E39" s="18" t="inlineStr">
        <is>
          <t>EC2 t3.medium</t>
        </is>
      </c>
      <c r="F39" s="18" t="inlineStr">
        <is>
          <t>AWS EC2 (billed hourly, N-hr lab day)</t>
        </is>
      </c>
      <c r="G39" s="19">
        <f>'Assumptions'!$D$12</f>
        <v/>
      </c>
      <c r="H39" s="20">
        <f>G39*'Assumptions'!$B$6</f>
        <v/>
      </c>
      <c r="I39" s="20" t="inlineStr">
        <is>
          <t>-</t>
        </is>
      </c>
      <c r="J39" s="21" t="inlineStr">
        <is>
          <t>-</t>
        </is>
      </c>
      <c r="K39" s="22" t="inlineStr">
        <is>
          <t>-</t>
        </is>
      </c>
      <c r="L39" s="20" t="inlineStr">
        <is>
          <t>-</t>
        </is>
      </c>
      <c r="M39" s="20" t="inlineStr">
        <is>
          <t>-</t>
        </is>
      </c>
    </row>
    <row r="40">
      <c r="A40" s="18" t="inlineStr"/>
      <c r="B40" s="18" t="inlineStr"/>
      <c r="C40" s="18" t="inlineStr">
        <is>
          <t xml:space="preserve">    &gt; configmaps, secrets</t>
        </is>
      </c>
      <c r="D40" s="18" t="inlineStr">
        <is>
          <t>-</t>
        </is>
      </c>
      <c r="E40" s="18" t="inlineStr">
        <is>
          <t>EC2 t3.medium</t>
        </is>
      </c>
      <c r="F40" s="18" t="inlineStr">
        <is>
          <t>AWS EC2 (billed hourly, N-hr lab day)</t>
        </is>
      </c>
      <c r="G40" s="19">
        <f>'Assumptions'!$D$12</f>
        <v/>
      </c>
      <c r="H40" s="20">
        <f>G40*'Assumptions'!$B$6</f>
        <v/>
      </c>
      <c r="I40" s="20" t="inlineStr">
        <is>
          <t>-</t>
        </is>
      </c>
      <c r="J40" s="21" t="inlineStr">
        <is>
          <t>-</t>
        </is>
      </c>
      <c r="K40" s="22" t="inlineStr">
        <is>
          <t>-</t>
        </is>
      </c>
      <c r="L40" s="20" t="inlineStr">
        <is>
          <t>-</t>
        </is>
      </c>
      <c r="M40" s="20" t="inlineStr">
        <is>
          <t>-</t>
        </is>
      </c>
    </row>
    <row r="41">
      <c r="A41" s="18" t="inlineStr"/>
      <c r="B41" s="18" t="inlineStr"/>
      <c r="C41" s="18" t="inlineStr">
        <is>
          <t xml:space="preserve">    &gt; Knowledge check, use cases, and Q&amp;A for Kubernetes Workloads and Services</t>
        </is>
      </c>
      <c r="D41" s="18" t="inlineStr">
        <is>
          <t>-</t>
        </is>
      </c>
      <c r="E41" s="18" t="inlineStr">
        <is>
          <t>EC2 t3.xlarge</t>
        </is>
      </c>
      <c r="F41" s="18" t="inlineStr">
        <is>
          <t>AWS EC2 (billed hourly, N-hr lab day)</t>
        </is>
      </c>
      <c r="G41" s="19">
        <f>'Assumptions'!$D$13</f>
        <v/>
      </c>
      <c r="H41" s="20">
        <f>G41*'Assumptions'!$B$6</f>
        <v/>
      </c>
      <c r="I41" s="20" t="inlineStr">
        <is>
          <t>-</t>
        </is>
      </c>
      <c r="J41" s="21" t="inlineStr">
        <is>
          <t>-</t>
        </is>
      </c>
      <c r="K41" s="22" t="inlineStr">
        <is>
          <t>-</t>
        </is>
      </c>
      <c r="L41" s="20" t="inlineStr">
        <is>
          <t>-</t>
        </is>
      </c>
      <c r="M41" s="20" t="inlineStr">
        <is>
          <t>-</t>
        </is>
      </c>
    </row>
    <row r="42">
      <c r="A42" s="18" t="inlineStr"/>
      <c r="B42" s="18" t="inlineStr"/>
      <c r="C42" s="18" t="inlineStr">
        <is>
          <t xml:space="preserve">    &gt; namespaces, Kubernetes Workloads and Services hands-on implementation, Kubernetes Workloads and Services troubleshooting scenarios</t>
        </is>
      </c>
      <c r="D42" s="18" t="inlineStr">
        <is>
          <t>-</t>
        </is>
      </c>
      <c r="E42" s="18" t="inlineStr">
        <is>
          <t>EC2 t3.xlarge</t>
        </is>
      </c>
      <c r="F42" s="18" t="inlineStr">
        <is>
          <t>AWS EC2 (billed hourly, N-hr lab day)</t>
        </is>
      </c>
      <c r="G42" s="19">
        <f>'Assumptions'!$D$13</f>
        <v/>
      </c>
      <c r="H42" s="20">
        <f>G42*'Assumptions'!$B$6</f>
        <v/>
      </c>
      <c r="I42" s="20" t="inlineStr">
        <is>
          <t>-</t>
        </is>
      </c>
      <c r="J42" s="21" t="inlineStr">
        <is>
          <t>-</t>
        </is>
      </c>
      <c r="K42" s="22" t="inlineStr">
        <is>
          <t>-</t>
        </is>
      </c>
      <c r="L42" s="20" t="inlineStr">
        <is>
          <t>-</t>
        </is>
      </c>
      <c r="M42" s="20" t="inlineStr">
        <is>
          <t>-</t>
        </is>
      </c>
    </row>
    <row r="43">
      <c r="A43" s="18" t="inlineStr"/>
      <c r="B43" s="18" t="inlineStr"/>
      <c r="C43" s="18" t="inlineStr">
        <is>
          <t xml:space="preserve">    &gt; Lab: Deploy app with service, ingress, configmap and secret</t>
        </is>
      </c>
      <c r="D43" s="18" t="inlineStr">
        <is>
          <t>-</t>
        </is>
      </c>
      <c r="E43" s="18" t="inlineStr">
        <is>
          <t>EC2 t3.medium</t>
        </is>
      </c>
      <c r="F43" s="18" t="inlineStr">
        <is>
          <t>AWS EC2 (billed hourly, N-hr lab day)</t>
        </is>
      </c>
      <c r="G43" s="19">
        <f>'Assumptions'!$D$12</f>
        <v/>
      </c>
      <c r="H43" s="20">
        <f>G43*'Assumptions'!$B$6</f>
        <v/>
      </c>
      <c r="I43" s="20" t="inlineStr">
        <is>
          <t>-</t>
        </is>
      </c>
      <c r="J43" s="21" t="inlineStr">
        <is>
          <t>-</t>
        </is>
      </c>
      <c r="K43" s="22" t="inlineStr">
        <is>
          <t>-</t>
        </is>
      </c>
      <c r="L43" s="20" t="inlineStr">
        <is>
          <t>-</t>
        </is>
      </c>
      <c r="M43" s="20" t="inlineStr">
        <is>
          <t>-</t>
        </is>
      </c>
    </row>
    <row r="44">
      <c r="A44" s="23" t="inlineStr"/>
      <c r="B44" s="23" t="inlineStr"/>
      <c r="C44" s="23" t="inlineStr">
        <is>
          <t xml:space="preserve">    &gt; Jira: Track service exposure and verification evidence</t>
        </is>
      </c>
      <c r="D44" s="23" t="inlineStr">
        <is>
          <t>-</t>
        </is>
      </c>
      <c r="E44" s="23" t="inlineStr">
        <is>
          <t>Jira</t>
        </is>
      </c>
      <c r="F44" s="23" t="inlineStr">
        <is>
          <t>Free / 3rd-party (not cloud-provider billed)</t>
        </is>
      </c>
      <c r="G44" s="24">
        <f>0</f>
        <v/>
      </c>
      <c r="H44" s="25">
        <f>G44*'Assumptions'!$B$6</f>
        <v/>
      </c>
      <c r="I44" s="25" t="inlineStr">
        <is>
          <t>-</t>
        </is>
      </c>
      <c r="J44" s="26" t="inlineStr">
        <is>
          <t>-</t>
        </is>
      </c>
      <c r="K44" s="27" t="inlineStr">
        <is>
          <t>-</t>
        </is>
      </c>
      <c r="L44" s="25" t="inlineStr">
        <is>
          <t>-</t>
        </is>
      </c>
      <c r="M44" s="25" t="inlineStr">
        <is>
          <t>-</t>
        </is>
      </c>
    </row>
    <row r="45">
      <c r="A45" s="28" t="n">
        <v>6</v>
      </c>
      <c r="B45" s="28" t="inlineStr">
        <is>
          <t>Core Learning</t>
        </is>
      </c>
      <c r="C45" s="28" t="inlineStr">
        <is>
          <t>AWS DevOps Foundations</t>
        </is>
      </c>
      <c r="D45" s="28" t="inlineStr">
        <is>
          <t>Day 6</t>
        </is>
      </c>
      <c r="E45" s="28" t="inlineStr">
        <is>
          <t>Jira</t>
        </is>
      </c>
      <c r="F45" s="28" t="inlineStr">
        <is>
          <t>Free / 3rd-party (not cloud-provider billed)</t>
        </is>
      </c>
      <c r="G45" s="29">
        <f>0</f>
        <v/>
      </c>
      <c r="H45" s="30">
        <f>G45*'Assumptions'!$B$6</f>
        <v/>
      </c>
      <c r="I45" s="30">
        <f>G45*'Assumptions'!$B$4*'Assumptions'!$B$6</f>
        <v/>
      </c>
      <c r="J45" s="31">
        <f>1*'Assumptions'!$B$4</f>
        <v/>
      </c>
      <c r="K45" s="32">
        <f>'Assumptions'!$B$5</f>
        <v/>
      </c>
      <c r="L45" s="30">
        <f>G45*J45*'Assumptions'!$B$6</f>
        <v/>
      </c>
      <c r="M45" s="30">
        <f>L45*K45</f>
        <v/>
      </c>
    </row>
    <row r="46">
      <c r="A46" s="18" t="inlineStr"/>
      <c r="B46" s="18" t="inlineStr"/>
      <c r="C46" s="18" t="inlineStr">
        <is>
          <t xml:space="preserve">    &gt; IAM, EC2, S3</t>
        </is>
      </c>
      <c r="D46" s="18" t="inlineStr">
        <is>
          <t>-</t>
        </is>
      </c>
      <c r="E46" s="18" t="inlineStr">
        <is>
          <t>EC2 t3.medium</t>
        </is>
      </c>
      <c r="F46" s="18" t="inlineStr">
        <is>
          <t>Free / 3rd-party (not cloud-provider billed)</t>
        </is>
      </c>
      <c r="G46" s="19">
        <f>'Assumptions'!$D$12</f>
        <v/>
      </c>
      <c r="H46" s="20">
        <f>G46*'Assumptions'!$B$6</f>
        <v/>
      </c>
      <c r="I46" s="20" t="inlineStr">
        <is>
          <t>-</t>
        </is>
      </c>
      <c r="J46" s="21" t="inlineStr">
        <is>
          <t>-</t>
        </is>
      </c>
      <c r="K46" s="22" t="inlineStr">
        <is>
          <t>-</t>
        </is>
      </c>
      <c r="L46" s="20" t="inlineStr">
        <is>
          <t>-</t>
        </is>
      </c>
      <c r="M46" s="20" t="inlineStr">
        <is>
          <t>-</t>
        </is>
      </c>
    </row>
    <row r="47">
      <c r="A47" s="18" t="inlineStr"/>
      <c r="B47" s="18" t="inlineStr"/>
      <c r="C47" s="18" t="inlineStr">
        <is>
          <t xml:space="preserve">    &gt; Break</t>
        </is>
      </c>
      <c r="D47" s="18" t="inlineStr">
        <is>
          <t>-</t>
        </is>
      </c>
      <c r="E47" s="18" t="inlineStr">
        <is>
          <t>EC2 t3.medium</t>
        </is>
      </c>
      <c r="F47" s="18" t="inlineStr">
        <is>
          <t>Free / 3rd-party (not cloud-provider billed)</t>
        </is>
      </c>
      <c r="G47" s="19">
        <f>'Assumptions'!$D$12</f>
        <v/>
      </c>
      <c r="H47" s="20">
        <f>G47*'Assumptions'!$B$6</f>
        <v/>
      </c>
      <c r="I47" s="20" t="inlineStr">
        <is>
          <t>-</t>
        </is>
      </c>
      <c r="J47" s="21" t="inlineStr">
        <is>
          <t>-</t>
        </is>
      </c>
      <c r="K47" s="22" t="inlineStr">
        <is>
          <t>-</t>
        </is>
      </c>
      <c r="L47" s="20" t="inlineStr">
        <is>
          <t>-</t>
        </is>
      </c>
      <c r="M47" s="20" t="inlineStr">
        <is>
          <t>-</t>
        </is>
      </c>
    </row>
    <row r="48">
      <c r="A48" s="18" t="inlineStr"/>
      <c r="B48" s="18" t="inlineStr"/>
      <c r="C48" s="18" t="inlineStr">
        <is>
          <t xml:space="preserve">    &gt; VPC, security groups</t>
        </is>
      </c>
      <c r="D48" s="18" t="inlineStr">
        <is>
          <t>-</t>
        </is>
      </c>
      <c r="E48" s="18" t="inlineStr">
        <is>
          <t>EC2 t3.medium</t>
        </is>
      </c>
      <c r="F48" s="18" t="inlineStr">
        <is>
          <t>Free / 3rd-party (not cloud-provider billed)</t>
        </is>
      </c>
      <c r="G48" s="19">
        <f>'Assumptions'!$D$12</f>
        <v/>
      </c>
      <c r="H48" s="20">
        <f>G48*'Assumptions'!$B$6</f>
        <v/>
      </c>
      <c r="I48" s="20" t="inlineStr">
        <is>
          <t>-</t>
        </is>
      </c>
      <c r="J48" s="21" t="inlineStr">
        <is>
          <t>-</t>
        </is>
      </c>
      <c r="K48" s="22" t="inlineStr">
        <is>
          <t>-</t>
        </is>
      </c>
      <c r="L48" s="20" t="inlineStr">
        <is>
          <t>-</t>
        </is>
      </c>
      <c r="M48" s="20" t="inlineStr">
        <is>
          <t>-</t>
        </is>
      </c>
    </row>
    <row r="49">
      <c r="A49" s="18" t="inlineStr"/>
      <c r="B49" s="18" t="inlineStr"/>
      <c r="C49" s="18" t="inlineStr">
        <is>
          <t xml:space="preserve">    &gt; Knowledge check, use cases, and Q&amp;A for AWS DevOps Foundations</t>
        </is>
      </c>
      <c r="D49" s="18" t="inlineStr">
        <is>
          <t>-</t>
        </is>
      </c>
      <c r="E49" s="18" t="inlineStr">
        <is>
          <t>EC2 t3.medium</t>
        </is>
      </c>
      <c r="F49" s="18" t="inlineStr">
        <is>
          <t>Free / 3rd-party (not cloud-provider billed)</t>
        </is>
      </c>
      <c r="G49" s="19">
        <f>'Assumptions'!$D$12</f>
        <v/>
      </c>
      <c r="H49" s="20">
        <f>G49*'Assumptions'!$B$6</f>
        <v/>
      </c>
      <c r="I49" s="20" t="inlineStr">
        <is>
          <t>-</t>
        </is>
      </c>
      <c r="J49" s="21" t="inlineStr">
        <is>
          <t>-</t>
        </is>
      </c>
      <c r="K49" s="22" t="inlineStr">
        <is>
          <t>-</t>
        </is>
      </c>
      <c r="L49" s="20" t="inlineStr">
        <is>
          <t>-</t>
        </is>
      </c>
      <c r="M49" s="20" t="inlineStr">
        <is>
          <t>-</t>
        </is>
      </c>
    </row>
    <row r="50">
      <c r="A50" s="18" t="inlineStr"/>
      <c r="B50" s="18" t="inlineStr"/>
      <c r="C50" s="18" t="inlineStr">
        <is>
          <t xml:space="preserve">    &gt; CloudWatch, AWS DevOps Foundations hands-on implementation, AWS DevOps Foundations troubleshooting scenarios</t>
        </is>
      </c>
      <c r="D50" s="18" t="inlineStr">
        <is>
          <t>-</t>
        </is>
      </c>
      <c r="E50" s="18" t="inlineStr">
        <is>
          <t>EC2 t3.medium</t>
        </is>
      </c>
      <c r="F50" s="18" t="inlineStr">
        <is>
          <t>Free / 3rd-party (not cloud-provider billed)</t>
        </is>
      </c>
      <c r="G50" s="19">
        <f>'Assumptions'!$D$12</f>
        <v/>
      </c>
      <c r="H50" s="20">
        <f>G50*'Assumptions'!$B$6</f>
        <v/>
      </c>
      <c r="I50" s="20" t="inlineStr">
        <is>
          <t>-</t>
        </is>
      </c>
      <c r="J50" s="21" t="inlineStr">
        <is>
          <t>-</t>
        </is>
      </c>
      <c r="K50" s="22" t="inlineStr">
        <is>
          <t>-</t>
        </is>
      </c>
      <c r="L50" s="20" t="inlineStr">
        <is>
          <t>-</t>
        </is>
      </c>
      <c r="M50" s="20" t="inlineStr">
        <is>
          <t>-</t>
        </is>
      </c>
    </row>
    <row r="51">
      <c r="A51" s="18" t="inlineStr"/>
      <c r="B51" s="18" t="inlineStr"/>
      <c r="C51" s="18" t="inlineStr">
        <is>
          <t xml:space="preserve">    &gt; Lab: Create IAM user, EC2 instance, S3 bucket and CloudWatch log check</t>
        </is>
      </c>
      <c r="D51" s="18" t="inlineStr">
        <is>
          <t>-</t>
        </is>
      </c>
      <c r="E51" s="18" t="inlineStr">
        <is>
          <t>EC2 t3.medium</t>
        </is>
      </c>
      <c r="F51" s="18" t="inlineStr">
        <is>
          <t>Free / 3rd-party (not cloud-provider billed)</t>
        </is>
      </c>
      <c r="G51" s="19">
        <f>'Assumptions'!$D$12</f>
        <v/>
      </c>
      <c r="H51" s="20">
        <f>G51*'Assumptions'!$B$6</f>
        <v/>
      </c>
      <c r="I51" s="20" t="inlineStr">
        <is>
          <t>-</t>
        </is>
      </c>
      <c r="J51" s="21" t="inlineStr">
        <is>
          <t>-</t>
        </is>
      </c>
      <c r="K51" s="22" t="inlineStr">
        <is>
          <t>-</t>
        </is>
      </c>
      <c r="L51" s="20" t="inlineStr">
        <is>
          <t>-</t>
        </is>
      </c>
      <c r="M51" s="20" t="inlineStr">
        <is>
          <t>-</t>
        </is>
      </c>
    </row>
    <row r="52">
      <c r="A52" s="23" t="inlineStr"/>
      <c r="B52" s="23" t="inlineStr"/>
      <c r="C52" s="23" t="inlineStr">
        <is>
          <t xml:space="preserve">    &gt; Jira: Create cloud provisioning tasks and add AWS evidence</t>
        </is>
      </c>
      <c r="D52" s="23" t="inlineStr">
        <is>
          <t>-</t>
        </is>
      </c>
      <c r="E52" s="23" t="inlineStr">
        <is>
          <t>Jira</t>
        </is>
      </c>
      <c r="F52" s="23" t="inlineStr">
        <is>
          <t>Free / 3rd-party (not cloud-provider billed)</t>
        </is>
      </c>
      <c r="G52" s="24">
        <f>0</f>
        <v/>
      </c>
      <c r="H52" s="25">
        <f>G52*'Assumptions'!$B$6</f>
        <v/>
      </c>
      <c r="I52" s="25" t="inlineStr">
        <is>
          <t>-</t>
        </is>
      </c>
      <c r="J52" s="26" t="inlineStr">
        <is>
          <t>-</t>
        </is>
      </c>
      <c r="K52" s="27" t="inlineStr">
        <is>
          <t>-</t>
        </is>
      </c>
      <c r="L52" s="25" t="inlineStr">
        <is>
          <t>-</t>
        </is>
      </c>
      <c r="M52" s="25" t="inlineStr">
        <is>
          <t>-</t>
        </is>
      </c>
    </row>
    <row r="53">
      <c r="A53" s="13" t="n">
        <v>7</v>
      </c>
      <c r="B53" s="13" t="inlineStr">
        <is>
          <t>Core Learning</t>
        </is>
      </c>
      <c r="C53" s="13" t="inlineStr">
        <is>
          <t>Azure Pipelines and AKS</t>
        </is>
      </c>
      <c r="D53" s="13" t="inlineStr">
        <is>
          <t>Day 7</t>
        </is>
      </c>
      <c r="E53" s="13" t="inlineStr">
        <is>
          <t>EKS control plane</t>
        </is>
      </c>
      <c r="F53" s="13" t="inlineStr">
        <is>
          <t>AWS managed resource (billed hourly, N-hr lab day)</t>
        </is>
      </c>
      <c r="G53" s="14">
        <f>'Assumptions'!$D$14</f>
        <v/>
      </c>
      <c r="H53" s="15">
        <f>G53*'Assumptions'!$B$6</f>
        <v/>
      </c>
      <c r="I53" s="15">
        <f>G53*'Assumptions'!$B$4*'Assumptions'!$B$6</f>
        <v/>
      </c>
      <c r="J53" s="16">
        <f>1*'Assumptions'!$B$4</f>
        <v/>
      </c>
      <c r="K53" s="17">
        <f>'Assumptions'!$B$5</f>
        <v/>
      </c>
      <c r="L53" s="15">
        <f>G53*J53*'Assumptions'!$B$6</f>
        <v/>
      </c>
      <c r="M53" s="15">
        <f>L53*K53</f>
        <v/>
      </c>
    </row>
    <row r="54">
      <c r="A54" s="18" t="inlineStr"/>
      <c r="B54" s="18" t="inlineStr"/>
      <c r="C54" s="18" t="inlineStr">
        <is>
          <t xml:space="preserve">    &gt; Azure Repos, Azure Pipelines, service connections</t>
        </is>
      </c>
      <c r="D54" s="18" t="inlineStr">
        <is>
          <t>-</t>
        </is>
      </c>
      <c r="E54" s="18" t="inlineStr">
        <is>
          <t>EC2 t3.xlarge</t>
        </is>
      </c>
      <c r="F54" s="18" t="inlineStr">
        <is>
          <t>AWS managed resource (billed hourly, N-hr lab day)</t>
        </is>
      </c>
      <c r="G54" s="19">
        <f>'Assumptions'!$D$13</f>
        <v/>
      </c>
      <c r="H54" s="20">
        <f>G54*'Assumptions'!$B$6</f>
        <v/>
      </c>
      <c r="I54" s="20" t="inlineStr">
        <is>
          <t>-</t>
        </is>
      </c>
      <c r="J54" s="21" t="inlineStr">
        <is>
          <t>-</t>
        </is>
      </c>
      <c r="K54" s="22" t="inlineStr">
        <is>
          <t>-</t>
        </is>
      </c>
      <c r="L54" s="20" t="inlineStr">
        <is>
          <t>-</t>
        </is>
      </c>
      <c r="M54" s="20" t="inlineStr">
        <is>
          <t>-</t>
        </is>
      </c>
    </row>
    <row r="55">
      <c r="A55" s="18" t="inlineStr"/>
      <c r="B55" s="18" t="inlineStr"/>
      <c r="C55" s="18" t="inlineStr">
        <is>
          <t xml:space="preserve">    &gt; Break</t>
        </is>
      </c>
      <c r="D55" s="18" t="inlineStr">
        <is>
          <t>-</t>
        </is>
      </c>
      <c r="E55" s="18" t="inlineStr">
        <is>
          <t>EC2 t3.medium</t>
        </is>
      </c>
      <c r="F55" s="18" t="inlineStr">
        <is>
          <t>AWS managed resource (billed hourly, N-hr lab day)</t>
        </is>
      </c>
      <c r="G55" s="19">
        <f>'Assumptions'!$D$12</f>
        <v/>
      </c>
      <c r="H55" s="20">
        <f>G55*'Assumptions'!$B$6</f>
        <v/>
      </c>
      <c r="I55" s="20" t="inlineStr">
        <is>
          <t>-</t>
        </is>
      </c>
      <c r="J55" s="21" t="inlineStr">
        <is>
          <t>-</t>
        </is>
      </c>
      <c r="K55" s="22" t="inlineStr">
        <is>
          <t>-</t>
        </is>
      </c>
      <c r="L55" s="20" t="inlineStr">
        <is>
          <t>-</t>
        </is>
      </c>
      <c r="M55" s="20" t="inlineStr">
        <is>
          <t>-</t>
        </is>
      </c>
    </row>
    <row r="56">
      <c r="A56" s="18" t="inlineStr"/>
      <c r="B56" s="18" t="inlineStr"/>
      <c r="C56" s="18" t="inlineStr">
        <is>
          <t xml:space="preserve">    &gt; ACR, AKS deployment</t>
        </is>
      </c>
      <c r="D56" s="18" t="inlineStr">
        <is>
          <t>-</t>
        </is>
      </c>
      <c r="E56" s="18" t="inlineStr">
        <is>
          <t>EKS control plane</t>
        </is>
      </c>
      <c r="F56" s="18" t="inlineStr">
        <is>
          <t>AWS managed resource (billed hourly, N-hr lab day)</t>
        </is>
      </c>
      <c r="G56" s="19">
        <f>'Assumptions'!$D$14</f>
        <v/>
      </c>
      <c r="H56" s="20">
        <f>G56*'Assumptions'!$B$6</f>
        <v/>
      </c>
      <c r="I56" s="20" t="inlineStr">
        <is>
          <t>-</t>
        </is>
      </c>
      <c r="J56" s="21" t="inlineStr">
        <is>
          <t>-</t>
        </is>
      </c>
      <c r="K56" s="22" t="inlineStr">
        <is>
          <t>-</t>
        </is>
      </c>
      <c r="L56" s="20" t="inlineStr">
        <is>
          <t>-</t>
        </is>
      </c>
      <c r="M56" s="20" t="inlineStr">
        <is>
          <t>-</t>
        </is>
      </c>
    </row>
    <row r="57">
      <c r="A57" s="18" t="inlineStr"/>
      <c r="B57" s="18" t="inlineStr"/>
      <c r="C57" s="18" t="inlineStr">
        <is>
          <t xml:space="preserve">    &gt; Knowledge check, use cases, and Q&amp;A for Azure Pipelines and AKS</t>
        </is>
      </c>
      <c r="D57" s="18" t="inlineStr">
        <is>
          <t>-</t>
        </is>
      </c>
      <c r="E57" s="18" t="inlineStr">
        <is>
          <t>EKS control plane</t>
        </is>
      </c>
      <c r="F57" s="18" t="inlineStr">
        <is>
          <t>AWS managed resource (billed hourly, N-hr lab day)</t>
        </is>
      </c>
      <c r="G57" s="19">
        <f>'Assumptions'!$D$14</f>
        <v/>
      </c>
      <c r="H57" s="20">
        <f>G57*'Assumptions'!$B$6</f>
        <v/>
      </c>
      <c r="I57" s="20" t="inlineStr">
        <is>
          <t>-</t>
        </is>
      </c>
      <c r="J57" s="21" t="inlineStr">
        <is>
          <t>-</t>
        </is>
      </c>
      <c r="K57" s="22" t="inlineStr">
        <is>
          <t>-</t>
        </is>
      </c>
      <c r="L57" s="20" t="inlineStr">
        <is>
          <t>-</t>
        </is>
      </c>
      <c r="M57" s="20" t="inlineStr">
        <is>
          <t>-</t>
        </is>
      </c>
    </row>
    <row r="58">
      <c r="A58" s="18" t="inlineStr"/>
      <c r="B58" s="18" t="inlineStr"/>
      <c r="C58" s="18" t="inlineStr">
        <is>
          <t xml:space="preserve">    &gt; Azure Pipelines and AKS hands-on implementation, Azure Pipelines and AKS troubleshooting scenarios, Azure Pipelines and AKS best practices and review</t>
        </is>
      </c>
      <c r="D58" s="18" t="inlineStr">
        <is>
          <t>-</t>
        </is>
      </c>
      <c r="E58" s="18" t="inlineStr">
        <is>
          <t>EKS control plane</t>
        </is>
      </c>
      <c r="F58" s="18" t="inlineStr">
        <is>
          <t>AWS managed resource (billed hourly, N-hr lab day)</t>
        </is>
      </c>
      <c r="G58" s="19">
        <f>'Assumptions'!$D$14</f>
        <v/>
      </c>
      <c r="H58" s="20">
        <f>G58*'Assumptions'!$B$6</f>
        <v/>
      </c>
      <c r="I58" s="20" t="inlineStr">
        <is>
          <t>-</t>
        </is>
      </c>
      <c r="J58" s="21" t="inlineStr">
        <is>
          <t>-</t>
        </is>
      </c>
      <c r="K58" s="22" t="inlineStr">
        <is>
          <t>-</t>
        </is>
      </c>
      <c r="L58" s="20" t="inlineStr">
        <is>
          <t>-</t>
        </is>
      </c>
      <c r="M58" s="20" t="inlineStr">
        <is>
          <t>-</t>
        </is>
      </c>
    </row>
    <row r="59">
      <c r="A59" s="18" t="inlineStr"/>
      <c r="B59" s="18" t="inlineStr"/>
      <c r="C59" s="18" t="inlineStr">
        <is>
          <t xml:space="preserve">    &gt; Lab: Build image in Azure Pipeline, push to ACR and deploy to AKS</t>
        </is>
      </c>
      <c r="D59" s="18" t="inlineStr">
        <is>
          <t>-</t>
        </is>
      </c>
      <c r="E59" s="18" t="inlineStr">
        <is>
          <t>EKS control plane</t>
        </is>
      </c>
      <c r="F59" s="18" t="inlineStr">
        <is>
          <t>AWS managed resource (billed hourly, N-hr lab day)</t>
        </is>
      </c>
      <c r="G59" s="19">
        <f>'Assumptions'!$D$14</f>
        <v/>
      </c>
      <c r="H59" s="20">
        <f>G59*'Assumptions'!$B$6</f>
        <v/>
      </c>
      <c r="I59" s="20" t="inlineStr">
        <is>
          <t>-</t>
        </is>
      </c>
      <c r="J59" s="21" t="inlineStr">
        <is>
          <t>-</t>
        </is>
      </c>
      <c r="K59" s="22" t="inlineStr">
        <is>
          <t>-</t>
        </is>
      </c>
      <c r="L59" s="20" t="inlineStr">
        <is>
          <t>-</t>
        </is>
      </c>
      <c r="M59" s="20" t="inlineStr">
        <is>
          <t>-</t>
        </is>
      </c>
    </row>
    <row r="60">
      <c r="A60" s="18" t="inlineStr"/>
      <c r="B60" s="18" t="inlineStr"/>
      <c r="C60" s="18" t="inlineStr">
        <is>
          <t xml:space="preserve">    &gt; Jira: Map Azure pipeline run to release task</t>
        </is>
      </c>
      <c r="D60" s="18" t="inlineStr">
        <is>
          <t>-</t>
        </is>
      </c>
      <c r="E60" s="18" t="inlineStr">
        <is>
          <t>EC2 t3.xlarge</t>
        </is>
      </c>
      <c r="F60" s="18" t="inlineStr">
        <is>
          <t>AWS managed resource (billed hourly, N-hr lab day)</t>
        </is>
      </c>
      <c r="G60" s="19">
        <f>'Assumptions'!$D$13</f>
        <v/>
      </c>
      <c r="H60" s="20">
        <f>G60*'Assumptions'!$B$6</f>
        <v/>
      </c>
      <c r="I60" s="20" t="inlineStr">
        <is>
          <t>-</t>
        </is>
      </c>
      <c r="J60" s="21" t="inlineStr">
        <is>
          <t>-</t>
        </is>
      </c>
      <c r="K60" s="22" t="inlineStr">
        <is>
          <t>-</t>
        </is>
      </c>
      <c r="L60" s="20" t="inlineStr">
        <is>
          <t>-</t>
        </is>
      </c>
      <c r="M60" s="20" t="inlineStr">
        <is>
          <t>-</t>
        </is>
      </c>
    </row>
    <row r="61">
      <c r="A61" s="13" t="n">
        <v>8</v>
      </c>
      <c r="B61" s="13" t="inlineStr">
        <is>
          <t>Core Learning</t>
        </is>
      </c>
      <c r="C61" s="13" t="inlineStr">
        <is>
          <t>DevSecOps and Quality Gates</t>
        </is>
      </c>
      <c r="D61" s="13" t="inlineStr">
        <is>
          <t>Day 8</t>
        </is>
      </c>
      <c r="E61" s="13" t="inlineStr">
        <is>
          <t>EC2 t3.xlarge</t>
        </is>
      </c>
      <c r="F61" s="13" t="inlineStr">
        <is>
          <t>AWS EC2 (billed hourly, N-hr lab day)</t>
        </is>
      </c>
      <c r="G61" s="14">
        <f>'Assumptions'!$D$13</f>
        <v/>
      </c>
      <c r="H61" s="15">
        <f>G61*'Assumptions'!$B$6</f>
        <v/>
      </c>
      <c r="I61" s="15">
        <f>G61*'Assumptions'!$B$4*'Assumptions'!$B$6</f>
        <v/>
      </c>
      <c r="J61" s="16">
        <f>1*'Assumptions'!$B$4</f>
        <v/>
      </c>
      <c r="K61" s="17">
        <f>'Assumptions'!$B$5</f>
        <v/>
      </c>
      <c r="L61" s="15">
        <f>G61*J61*'Assumptions'!$B$6</f>
        <v/>
      </c>
      <c r="M61" s="15">
        <f>L61*K61</f>
        <v/>
      </c>
    </row>
    <row r="62">
      <c r="A62" s="18" t="inlineStr"/>
      <c r="B62" s="18" t="inlineStr"/>
      <c r="C62" s="18" t="inlineStr">
        <is>
          <t xml:space="preserve">    &gt; SAST, dependency scanning, container scanning</t>
        </is>
      </c>
      <c r="D62" s="18" t="inlineStr">
        <is>
          <t>-</t>
        </is>
      </c>
      <c r="E62" s="18" t="inlineStr">
        <is>
          <t>EC2 t3.xlarge</t>
        </is>
      </c>
      <c r="F62" s="18" t="inlineStr">
        <is>
          <t>AWS EC2 (billed hourly, N-hr lab day)</t>
        </is>
      </c>
      <c r="G62" s="19">
        <f>'Assumptions'!$D$13</f>
        <v/>
      </c>
      <c r="H62" s="20">
        <f>G62*'Assumptions'!$B$6</f>
        <v/>
      </c>
      <c r="I62" s="20" t="inlineStr">
        <is>
          <t>-</t>
        </is>
      </c>
      <c r="J62" s="21" t="inlineStr">
        <is>
          <t>-</t>
        </is>
      </c>
      <c r="K62" s="22" t="inlineStr">
        <is>
          <t>-</t>
        </is>
      </c>
      <c r="L62" s="20" t="inlineStr">
        <is>
          <t>-</t>
        </is>
      </c>
      <c r="M62" s="20" t="inlineStr">
        <is>
          <t>-</t>
        </is>
      </c>
    </row>
    <row r="63">
      <c r="A63" s="18" t="inlineStr"/>
      <c r="B63" s="18" t="inlineStr"/>
      <c r="C63" s="18" t="inlineStr">
        <is>
          <t xml:space="preserve">    &gt; Break</t>
        </is>
      </c>
      <c r="D63" s="18" t="inlineStr">
        <is>
          <t>-</t>
        </is>
      </c>
      <c r="E63" s="18" t="inlineStr">
        <is>
          <t>EC2 t3.medium</t>
        </is>
      </c>
      <c r="F63" s="18" t="inlineStr">
        <is>
          <t>AWS EC2 (billed hourly, N-hr lab day)</t>
        </is>
      </c>
      <c r="G63" s="19">
        <f>'Assumptions'!$D$12</f>
        <v/>
      </c>
      <c r="H63" s="20">
        <f>G63*'Assumptions'!$B$6</f>
        <v/>
      </c>
      <c r="I63" s="20" t="inlineStr">
        <is>
          <t>-</t>
        </is>
      </c>
      <c r="J63" s="21" t="inlineStr">
        <is>
          <t>-</t>
        </is>
      </c>
      <c r="K63" s="22" t="inlineStr">
        <is>
          <t>-</t>
        </is>
      </c>
      <c r="L63" s="20" t="inlineStr">
        <is>
          <t>-</t>
        </is>
      </c>
      <c r="M63" s="20" t="inlineStr">
        <is>
          <t>-</t>
        </is>
      </c>
    </row>
    <row r="64">
      <c r="A64" s="18" t="inlineStr"/>
      <c r="B64" s="18" t="inlineStr"/>
      <c r="C64" s="18" t="inlineStr">
        <is>
          <t xml:space="preserve">    &gt; secrets scanning, quality gates</t>
        </is>
      </c>
      <c r="D64" s="18" t="inlineStr">
        <is>
          <t>-</t>
        </is>
      </c>
      <c r="E64" s="18" t="inlineStr">
        <is>
          <t>EC2 t3.medium</t>
        </is>
      </c>
      <c r="F64" s="18" t="inlineStr">
        <is>
          <t>AWS EC2 (billed hourly, N-hr lab day)</t>
        </is>
      </c>
      <c r="G64" s="19">
        <f>'Assumptions'!$D$12</f>
        <v/>
      </c>
      <c r="H64" s="20">
        <f>G64*'Assumptions'!$B$6</f>
        <v/>
      </c>
      <c r="I64" s="20" t="inlineStr">
        <is>
          <t>-</t>
        </is>
      </c>
      <c r="J64" s="21" t="inlineStr">
        <is>
          <t>-</t>
        </is>
      </c>
      <c r="K64" s="22" t="inlineStr">
        <is>
          <t>-</t>
        </is>
      </c>
      <c r="L64" s="20" t="inlineStr">
        <is>
          <t>-</t>
        </is>
      </c>
      <c r="M64" s="20" t="inlineStr">
        <is>
          <t>-</t>
        </is>
      </c>
    </row>
    <row r="65">
      <c r="A65" s="18" t="inlineStr"/>
      <c r="B65" s="18" t="inlineStr"/>
      <c r="C65" s="18" t="inlineStr">
        <is>
          <t xml:space="preserve">    &gt; Knowledge check, use cases, and Q&amp;A for DevSecOps and Quality Gates</t>
        </is>
      </c>
      <c r="D65" s="18" t="inlineStr">
        <is>
          <t>-</t>
        </is>
      </c>
      <c r="E65" s="18" t="inlineStr">
        <is>
          <t>EC2 t3.medium</t>
        </is>
      </c>
      <c r="F65" s="18" t="inlineStr">
        <is>
          <t>AWS EC2 (billed hourly, N-hr lab day)</t>
        </is>
      </c>
      <c r="G65" s="19">
        <f>'Assumptions'!$D$12</f>
        <v/>
      </c>
      <c r="H65" s="20">
        <f>G65*'Assumptions'!$B$6</f>
        <v/>
      </c>
      <c r="I65" s="20" t="inlineStr">
        <is>
          <t>-</t>
        </is>
      </c>
      <c r="J65" s="21" t="inlineStr">
        <is>
          <t>-</t>
        </is>
      </c>
      <c r="K65" s="22" t="inlineStr">
        <is>
          <t>-</t>
        </is>
      </c>
      <c r="L65" s="20" t="inlineStr">
        <is>
          <t>-</t>
        </is>
      </c>
      <c r="M65" s="20" t="inlineStr">
        <is>
          <t>-</t>
        </is>
      </c>
    </row>
    <row r="66">
      <c r="A66" s="18" t="inlineStr"/>
      <c r="B66" s="18" t="inlineStr"/>
      <c r="C66" s="18" t="inlineStr">
        <is>
          <t xml:space="preserve">    &gt; DevSecOps and Quality Gates hands-on implementation, DevSecOps and Quality Gates troubleshooting scenarios, DevSecOps and Quality Gates best practices and review</t>
        </is>
      </c>
      <c r="D66" s="18" t="inlineStr">
        <is>
          <t>-</t>
        </is>
      </c>
      <c r="E66" s="18" t="inlineStr">
        <is>
          <t>EC2 t3.medium</t>
        </is>
      </c>
      <c r="F66" s="18" t="inlineStr">
        <is>
          <t>AWS EC2 (billed hourly, N-hr lab day)</t>
        </is>
      </c>
      <c r="G66" s="19">
        <f>'Assumptions'!$D$12</f>
        <v/>
      </c>
      <c r="H66" s="20">
        <f>G66*'Assumptions'!$B$6</f>
        <v/>
      </c>
      <c r="I66" s="20" t="inlineStr">
        <is>
          <t>-</t>
        </is>
      </c>
      <c r="J66" s="21" t="inlineStr">
        <is>
          <t>-</t>
        </is>
      </c>
      <c r="K66" s="22" t="inlineStr">
        <is>
          <t>-</t>
        </is>
      </c>
      <c r="L66" s="20" t="inlineStr">
        <is>
          <t>-</t>
        </is>
      </c>
      <c r="M66" s="20" t="inlineStr">
        <is>
          <t>-</t>
        </is>
      </c>
    </row>
    <row r="67">
      <c r="A67" s="18" t="inlineStr"/>
      <c r="B67" s="18" t="inlineStr"/>
      <c r="C67" s="18" t="inlineStr">
        <is>
          <t xml:space="preserve">    &gt; Lab: Add SonarQube and Trivy stages to CI/CD pipeline</t>
        </is>
      </c>
      <c r="D67" s="18" t="inlineStr">
        <is>
          <t>-</t>
        </is>
      </c>
      <c r="E67" s="18" t="inlineStr">
        <is>
          <t>EC2 t3.xlarge</t>
        </is>
      </c>
      <c r="F67" s="18" t="inlineStr">
        <is>
          <t>AWS EC2 (billed hourly, N-hr lab day)</t>
        </is>
      </c>
      <c r="G67" s="19">
        <f>'Assumptions'!$D$13</f>
        <v/>
      </c>
      <c r="H67" s="20">
        <f>G67*'Assumptions'!$B$6</f>
        <v/>
      </c>
      <c r="I67" s="20" t="inlineStr">
        <is>
          <t>-</t>
        </is>
      </c>
      <c r="J67" s="21" t="inlineStr">
        <is>
          <t>-</t>
        </is>
      </c>
      <c r="K67" s="22" t="inlineStr">
        <is>
          <t>-</t>
        </is>
      </c>
      <c r="L67" s="20" t="inlineStr">
        <is>
          <t>-</t>
        </is>
      </c>
      <c r="M67" s="20" t="inlineStr">
        <is>
          <t>-</t>
        </is>
      </c>
    </row>
    <row r="68">
      <c r="A68" s="23" t="inlineStr"/>
      <c r="B68" s="23" t="inlineStr"/>
      <c r="C68" s="23" t="inlineStr">
        <is>
          <t xml:space="preserve">    &gt; Jira: Convert scan findings into prioritized remediation tickets</t>
        </is>
      </c>
      <c r="D68" s="23" t="inlineStr">
        <is>
          <t>-</t>
        </is>
      </c>
      <c r="E68" s="23" t="inlineStr">
        <is>
          <t>Jira</t>
        </is>
      </c>
      <c r="F68" s="23" t="inlineStr">
        <is>
          <t>Free / 3rd-party (not cloud-provider billed)</t>
        </is>
      </c>
      <c r="G68" s="24">
        <f>0</f>
        <v/>
      </c>
      <c r="H68" s="25">
        <f>G68*'Assumptions'!$B$6</f>
        <v/>
      </c>
      <c r="I68" s="25" t="inlineStr">
        <is>
          <t>-</t>
        </is>
      </c>
      <c r="J68" s="26" t="inlineStr">
        <is>
          <t>-</t>
        </is>
      </c>
      <c r="K68" s="27" t="inlineStr">
        <is>
          <t>-</t>
        </is>
      </c>
      <c r="L68" s="25" t="inlineStr">
        <is>
          <t>-</t>
        </is>
      </c>
      <c r="M68" s="25" t="inlineStr">
        <is>
          <t>-</t>
        </is>
      </c>
    </row>
    <row r="69">
      <c r="A69" s="13" t="n">
        <v>9</v>
      </c>
      <c r="B69" s="13" t="inlineStr">
        <is>
          <t>Core Learning</t>
        </is>
      </c>
      <c r="C69" s="13" t="inlineStr">
        <is>
          <t>Release Management and Blue-Green Deployments</t>
        </is>
      </c>
      <c r="D69" s="13" t="inlineStr">
        <is>
          <t>Day 9</t>
        </is>
      </c>
      <c r="E69" s="13" t="inlineStr">
        <is>
          <t>EC2 t3.xlarge</t>
        </is>
      </c>
      <c r="F69" s="13" t="inlineStr">
        <is>
          <t>AWS EC2 (billed hourly, N-hr lab day)</t>
        </is>
      </c>
      <c r="G69" s="14">
        <f>'Assumptions'!$D$13</f>
        <v/>
      </c>
      <c r="H69" s="15">
        <f>G69*'Assumptions'!$B$6</f>
        <v/>
      </c>
      <c r="I69" s="15">
        <f>G69*'Assumptions'!$B$4*'Assumptions'!$B$6</f>
        <v/>
      </c>
      <c r="J69" s="16">
        <f>1*'Assumptions'!$B$4</f>
        <v/>
      </c>
      <c r="K69" s="17">
        <f>'Assumptions'!$B$5</f>
        <v/>
      </c>
      <c r="L69" s="15">
        <f>G69*J69*'Assumptions'!$B$6</f>
        <v/>
      </c>
      <c r="M69" s="15">
        <f>L69*K69</f>
        <v/>
      </c>
    </row>
    <row r="70">
      <c r="A70" s="18" t="inlineStr"/>
      <c r="B70" s="18" t="inlineStr"/>
      <c r="C70" s="18" t="inlineStr">
        <is>
          <t xml:space="preserve">    &gt; release strategy, blue-green, canary</t>
        </is>
      </c>
      <c r="D70" s="18" t="inlineStr">
        <is>
          <t>-</t>
        </is>
      </c>
      <c r="E70" s="18" t="inlineStr">
        <is>
          <t>EC2 t3.medium</t>
        </is>
      </c>
      <c r="F70" s="18" t="inlineStr">
        <is>
          <t>AWS EC2 (billed hourly, N-hr lab day)</t>
        </is>
      </c>
      <c r="G70" s="19">
        <f>'Assumptions'!$D$12</f>
        <v/>
      </c>
      <c r="H70" s="20">
        <f>G70*'Assumptions'!$B$6</f>
        <v/>
      </c>
      <c r="I70" s="20" t="inlineStr">
        <is>
          <t>-</t>
        </is>
      </c>
      <c r="J70" s="21" t="inlineStr">
        <is>
          <t>-</t>
        </is>
      </c>
      <c r="K70" s="22" t="inlineStr">
        <is>
          <t>-</t>
        </is>
      </c>
      <c r="L70" s="20" t="inlineStr">
        <is>
          <t>-</t>
        </is>
      </c>
      <c r="M70" s="20" t="inlineStr">
        <is>
          <t>-</t>
        </is>
      </c>
    </row>
    <row r="71">
      <c r="A71" s="18" t="inlineStr"/>
      <c r="B71" s="18" t="inlineStr"/>
      <c r="C71" s="18" t="inlineStr">
        <is>
          <t xml:space="preserve">    &gt; Break</t>
        </is>
      </c>
      <c r="D71" s="18" t="inlineStr">
        <is>
          <t>-</t>
        </is>
      </c>
      <c r="E71" s="18" t="inlineStr">
        <is>
          <t>EC2 t3.medium</t>
        </is>
      </c>
      <c r="F71" s="18" t="inlineStr">
        <is>
          <t>AWS EC2 (billed hourly, N-hr lab day)</t>
        </is>
      </c>
      <c r="G71" s="19">
        <f>'Assumptions'!$D$12</f>
        <v/>
      </c>
      <c r="H71" s="20">
        <f>G71*'Assumptions'!$B$6</f>
        <v/>
      </c>
      <c r="I71" s="20" t="inlineStr">
        <is>
          <t>-</t>
        </is>
      </c>
      <c r="J71" s="21" t="inlineStr">
        <is>
          <t>-</t>
        </is>
      </c>
      <c r="K71" s="22" t="inlineStr">
        <is>
          <t>-</t>
        </is>
      </c>
      <c r="L71" s="20" t="inlineStr">
        <is>
          <t>-</t>
        </is>
      </c>
      <c r="M71" s="20" t="inlineStr">
        <is>
          <t>-</t>
        </is>
      </c>
    </row>
    <row r="72">
      <c r="A72" s="18" t="inlineStr"/>
      <c r="B72" s="18" t="inlineStr"/>
      <c r="C72" s="18" t="inlineStr">
        <is>
          <t xml:space="preserve">    &gt; rollback, feature flags</t>
        </is>
      </c>
      <c r="D72" s="18" t="inlineStr">
        <is>
          <t>-</t>
        </is>
      </c>
      <c r="E72" s="18" t="inlineStr">
        <is>
          <t>EC2 t3.medium</t>
        </is>
      </c>
      <c r="F72" s="18" t="inlineStr">
        <is>
          <t>AWS EC2 (billed hourly, N-hr lab day)</t>
        </is>
      </c>
      <c r="G72" s="19">
        <f>'Assumptions'!$D$12</f>
        <v/>
      </c>
      <c r="H72" s="20">
        <f>G72*'Assumptions'!$B$6</f>
        <v/>
      </c>
      <c r="I72" s="20" t="inlineStr">
        <is>
          <t>-</t>
        </is>
      </c>
      <c r="J72" s="21" t="inlineStr">
        <is>
          <t>-</t>
        </is>
      </c>
      <c r="K72" s="22" t="inlineStr">
        <is>
          <t>-</t>
        </is>
      </c>
      <c r="L72" s="20" t="inlineStr">
        <is>
          <t>-</t>
        </is>
      </c>
      <c r="M72" s="20" t="inlineStr">
        <is>
          <t>-</t>
        </is>
      </c>
    </row>
    <row r="73">
      <c r="A73" s="18" t="inlineStr"/>
      <c r="B73" s="18" t="inlineStr"/>
      <c r="C73" s="18" t="inlineStr">
        <is>
          <t xml:space="preserve">    &gt; Knowledge check, use cases, and Q&amp;A for Release Management and Blue-Green Deployments</t>
        </is>
      </c>
      <c r="D73" s="18" t="inlineStr">
        <is>
          <t>-</t>
        </is>
      </c>
      <c r="E73" s="18" t="inlineStr">
        <is>
          <t>EC2 t3.medium</t>
        </is>
      </c>
      <c r="F73" s="18" t="inlineStr">
        <is>
          <t>AWS EC2 (billed hourly, N-hr lab day)</t>
        </is>
      </c>
      <c r="G73" s="19">
        <f>'Assumptions'!$D$12</f>
        <v/>
      </c>
      <c r="H73" s="20">
        <f>G73*'Assumptions'!$B$6</f>
        <v/>
      </c>
      <c r="I73" s="20" t="inlineStr">
        <is>
          <t>-</t>
        </is>
      </c>
      <c r="J73" s="21" t="inlineStr">
        <is>
          <t>-</t>
        </is>
      </c>
      <c r="K73" s="22" t="inlineStr">
        <is>
          <t>-</t>
        </is>
      </c>
      <c r="L73" s="20" t="inlineStr">
        <is>
          <t>-</t>
        </is>
      </c>
      <c r="M73" s="20" t="inlineStr">
        <is>
          <t>-</t>
        </is>
      </c>
    </row>
    <row r="74">
      <c r="A74" s="18" t="inlineStr"/>
      <c r="B74" s="18" t="inlineStr"/>
      <c r="C74" s="18" t="inlineStr">
        <is>
          <t xml:space="preserve">    &gt; change control, Release Management and Blue-Green Deployments hands-on implementation, Release Management and Blue-Green Deployments troubleshooting scenarios</t>
        </is>
      </c>
      <c r="D74" s="18" t="inlineStr">
        <is>
          <t>-</t>
        </is>
      </c>
      <c r="E74" s="18" t="inlineStr">
        <is>
          <t>EC2 t3.medium</t>
        </is>
      </c>
      <c r="F74" s="18" t="inlineStr">
        <is>
          <t>AWS EC2 (billed hourly, N-hr lab day)</t>
        </is>
      </c>
      <c r="G74" s="19">
        <f>'Assumptions'!$D$12</f>
        <v/>
      </c>
      <c r="H74" s="20">
        <f>G74*'Assumptions'!$B$6</f>
        <v/>
      </c>
      <c r="I74" s="20" t="inlineStr">
        <is>
          <t>-</t>
        </is>
      </c>
      <c r="J74" s="21" t="inlineStr">
        <is>
          <t>-</t>
        </is>
      </c>
      <c r="K74" s="22" t="inlineStr">
        <is>
          <t>-</t>
        </is>
      </c>
      <c r="L74" s="20" t="inlineStr">
        <is>
          <t>-</t>
        </is>
      </c>
      <c r="M74" s="20" t="inlineStr">
        <is>
          <t>-</t>
        </is>
      </c>
    </row>
    <row r="75">
      <c r="A75" s="18" t="inlineStr"/>
      <c r="B75" s="18" t="inlineStr"/>
      <c r="C75" s="18" t="inlineStr">
        <is>
          <t xml:space="preserve">    &gt; Lab: Perform canary or blue-green deployment and rollback validation</t>
        </is>
      </c>
      <c r="D75" s="18" t="inlineStr">
        <is>
          <t>-</t>
        </is>
      </c>
      <c r="E75" s="18" t="inlineStr">
        <is>
          <t>EC2 t3.medium</t>
        </is>
      </c>
      <c r="F75" s="18" t="inlineStr">
        <is>
          <t>AWS EC2 (billed hourly, N-hr lab day)</t>
        </is>
      </c>
      <c r="G75" s="19">
        <f>'Assumptions'!$D$12</f>
        <v/>
      </c>
      <c r="H75" s="20">
        <f>G75*'Assumptions'!$B$6</f>
        <v/>
      </c>
      <c r="I75" s="20" t="inlineStr">
        <is>
          <t>-</t>
        </is>
      </c>
      <c r="J75" s="21" t="inlineStr">
        <is>
          <t>-</t>
        </is>
      </c>
      <c r="K75" s="22" t="inlineStr">
        <is>
          <t>-</t>
        </is>
      </c>
      <c r="L75" s="20" t="inlineStr">
        <is>
          <t>-</t>
        </is>
      </c>
      <c r="M75" s="20" t="inlineStr">
        <is>
          <t>-</t>
        </is>
      </c>
    </row>
    <row r="76">
      <c r="A76" s="23" t="inlineStr"/>
      <c r="B76" s="23" t="inlineStr"/>
      <c r="C76" s="23" t="inlineStr">
        <is>
          <t xml:space="preserve">    &gt; Jira: Prepare release ticket, deployment checklist and rollback steps</t>
        </is>
      </c>
      <c r="D76" s="23" t="inlineStr">
        <is>
          <t>-</t>
        </is>
      </c>
      <c r="E76" s="23" t="inlineStr">
        <is>
          <t>Jira</t>
        </is>
      </c>
      <c r="F76" s="23" t="inlineStr">
        <is>
          <t>Free / 3rd-party (not cloud-provider billed)</t>
        </is>
      </c>
      <c r="G76" s="24">
        <f>0</f>
        <v/>
      </c>
      <c r="H76" s="25">
        <f>G76*'Assumptions'!$B$6</f>
        <v/>
      </c>
      <c r="I76" s="25" t="inlineStr">
        <is>
          <t>-</t>
        </is>
      </c>
      <c r="J76" s="26" t="inlineStr">
        <is>
          <t>-</t>
        </is>
      </c>
      <c r="K76" s="27" t="inlineStr">
        <is>
          <t>-</t>
        </is>
      </c>
      <c r="L76" s="25" t="inlineStr">
        <is>
          <t>-</t>
        </is>
      </c>
      <c r="M76" s="25" t="inlineStr">
        <is>
          <t>-</t>
        </is>
      </c>
    </row>
    <row r="77">
      <c r="A77" s="13" t="n">
        <v>10</v>
      </c>
      <c r="B77" s="13" t="inlineStr">
        <is>
          <t>Capstone</t>
        </is>
      </c>
      <c r="C77" s="13" t="inlineStr">
        <is>
          <t>Capstone Demo and Certification Roadmap</t>
        </is>
      </c>
      <c r="D77" s="13" t="inlineStr">
        <is>
          <t>Day 10</t>
        </is>
      </c>
      <c r="E77" s="13" t="inlineStr">
        <is>
          <t>EC2 t3.xlarge</t>
        </is>
      </c>
      <c r="F77" s="13" t="inlineStr">
        <is>
          <t>AWS EC2 (billed hourly, N-hr lab day)</t>
        </is>
      </c>
      <c r="G77" s="14">
        <f>'Assumptions'!$D$13</f>
        <v/>
      </c>
      <c r="H77" s="15">
        <f>G77*'Assumptions'!$B$6</f>
        <v/>
      </c>
      <c r="I77" s="15">
        <f>G77*'Assumptions'!$B$4*'Assumptions'!$B$6</f>
        <v/>
      </c>
      <c r="J77" s="16">
        <f>1*'Assumptions'!$B$4</f>
        <v/>
      </c>
      <c r="K77" s="17">
        <f>'Assumptions'!$B$5</f>
        <v/>
      </c>
      <c r="L77" s="15">
        <f>G77*J77*'Assumptions'!$B$6</f>
        <v/>
      </c>
      <c r="M77" s="15">
        <f>L77*K77</f>
        <v/>
      </c>
    </row>
    <row r="78">
      <c r="A78" s="18" t="inlineStr"/>
      <c r="B78" s="18" t="inlineStr"/>
      <c r="C78" s="18" t="inlineStr">
        <is>
          <t xml:space="preserve">    &gt; final deployment, pipeline walkthrough, monitoring evidence</t>
        </is>
      </c>
      <c r="D78" s="18" t="inlineStr">
        <is>
          <t>-</t>
        </is>
      </c>
      <c r="E78" s="18" t="inlineStr">
        <is>
          <t>EC2 t3.xlarge</t>
        </is>
      </c>
      <c r="F78" s="18" t="inlineStr">
        <is>
          <t>AWS EC2 (billed hourly, N-hr lab day)</t>
        </is>
      </c>
      <c r="G78" s="19">
        <f>'Assumptions'!$D$13</f>
        <v/>
      </c>
      <c r="H78" s="20">
        <f>G78*'Assumptions'!$B$6</f>
        <v/>
      </c>
      <c r="I78" s="20" t="inlineStr">
        <is>
          <t>-</t>
        </is>
      </c>
      <c r="J78" s="21" t="inlineStr">
        <is>
          <t>-</t>
        </is>
      </c>
      <c r="K78" s="22" t="inlineStr">
        <is>
          <t>-</t>
        </is>
      </c>
      <c r="L78" s="20" t="inlineStr">
        <is>
          <t>-</t>
        </is>
      </c>
      <c r="M78" s="20" t="inlineStr">
        <is>
          <t>-</t>
        </is>
      </c>
    </row>
    <row r="79">
      <c r="A79" s="18" t="inlineStr"/>
      <c r="B79" s="18" t="inlineStr"/>
      <c r="C79" s="18" t="inlineStr">
        <is>
          <t xml:space="preserve">    &gt; Break</t>
        </is>
      </c>
      <c r="D79" s="18" t="inlineStr">
        <is>
          <t>-</t>
        </is>
      </c>
      <c r="E79" s="18" t="inlineStr">
        <is>
          <t>EC2 t3.medium</t>
        </is>
      </c>
      <c r="F79" s="18" t="inlineStr">
        <is>
          <t>AWS EC2 (billed hourly, N-hr lab day)</t>
        </is>
      </c>
      <c r="G79" s="19">
        <f>'Assumptions'!$D$12</f>
        <v/>
      </c>
      <c r="H79" s="20">
        <f>G79*'Assumptions'!$B$6</f>
        <v/>
      </c>
      <c r="I79" s="20" t="inlineStr">
        <is>
          <t>-</t>
        </is>
      </c>
      <c r="J79" s="21" t="inlineStr">
        <is>
          <t>-</t>
        </is>
      </c>
      <c r="K79" s="22" t="inlineStr">
        <is>
          <t>-</t>
        </is>
      </c>
      <c r="L79" s="20" t="inlineStr">
        <is>
          <t>-</t>
        </is>
      </c>
      <c r="M79" s="20" t="inlineStr">
        <is>
          <t>-</t>
        </is>
      </c>
    </row>
    <row r="80">
      <c r="A80" s="18" t="inlineStr"/>
      <c r="B80" s="18" t="inlineStr"/>
      <c r="C80" s="18" t="inlineStr">
        <is>
          <t xml:space="preserve">    &gt; security report, demo</t>
        </is>
      </c>
      <c r="D80" s="18" t="inlineStr">
        <is>
          <t>-</t>
        </is>
      </c>
      <c r="E80" s="18" t="inlineStr">
        <is>
          <t>EC2 t3.medium</t>
        </is>
      </c>
      <c r="F80" s="18" t="inlineStr">
        <is>
          <t>AWS EC2 (billed hourly, N-hr lab day)</t>
        </is>
      </c>
      <c r="G80" s="19">
        <f>'Assumptions'!$D$12</f>
        <v/>
      </c>
      <c r="H80" s="20">
        <f>G80*'Assumptions'!$B$6</f>
        <v/>
      </c>
      <c r="I80" s="20" t="inlineStr">
        <is>
          <t>-</t>
        </is>
      </c>
      <c r="J80" s="21" t="inlineStr">
        <is>
          <t>-</t>
        </is>
      </c>
      <c r="K80" s="22" t="inlineStr">
        <is>
          <t>-</t>
        </is>
      </c>
      <c r="L80" s="20" t="inlineStr">
        <is>
          <t>-</t>
        </is>
      </c>
      <c r="M80" s="20" t="inlineStr">
        <is>
          <t>-</t>
        </is>
      </c>
    </row>
    <row r="81">
      <c r="A81" s="18" t="inlineStr"/>
      <c r="B81" s="18" t="inlineStr"/>
      <c r="C81" s="18" t="inlineStr">
        <is>
          <t xml:space="preserve">    &gt; Knowledge check, use cases, and Q&amp;A for Capstone Demo and Certification Roadmap</t>
        </is>
      </c>
      <c r="D81" s="18" t="inlineStr">
        <is>
          <t>-</t>
        </is>
      </c>
      <c r="E81" s="18" t="inlineStr">
        <is>
          <t>EC2 t3.xlarge</t>
        </is>
      </c>
      <c r="F81" s="18" t="inlineStr">
        <is>
          <t>AWS EC2 (billed hourly, N-hr lab day)</t>
        </is>
      </c>
      <c r="G81" s="19">
        <f>'Assumptions'!$D$13</f>
        <v/>
      </c>
      <c r="H81" s="20">
        <f>G81*'Assumptions'!$B$6</f>
        <v/>
      </c>
      <c r="I81" s="20" t="inlineStr">
        <is>
          <t>-</t>
        </is>
      </c>
      <c r="J81" s="21" t="inlineStr">
        <is>
          <t>-</t>
        </is>
      </c>
      <c r="K81" s="22" t="inlineStr">
        <is>
          <t>-</t>
        </is>
      </c>
      <c r="L81" s="20" t="inlineStr">
        <is>
          <t>-</t>
        </is>
      </c>
      <c r="M81" s="20" t="inlineStr">
        <is>
          <t>-</t>
        </is>
      </c>
    </row>
    <row r="82">
      <c r="A82" s="18" t="inlineStr"/>
      <c r="B82" s="18" t="inlineStr"/>
      <c r="C82" s="18" t="inlineStr">
        <is>
          <t xml:space="preserve">    &gt; certification plan, Capstone Demo and Certification Roadmap hands-on implementation, Capstone Demo and Certification Roadmap troubleshooting scenarios</t>
        </is>
      </c>
      <c r="D82" s="18" t="inlineStr">
        <is>
          <t>-</t>
        </is>
      </c>
      <c r="E82" s="18" t="inlineStr">
        <is>
          <t>EC2 t3.xlarge</t>
        </is>
      </c>
      <c r="F82" s="18" t="inlineStr">
        <is>
          <t>AWS EC2 (billed hourly, N-hr lab day)</t>
        </is>
      </c>
      <c r="G82" s="19">
        <f>'Assumptions'!$D$13</f>
        <v/>
      </c>
      <c r="H82" s="20">
        <f>G82*'Assumptions'!$B$6</f>
        <v/>
      </c>
      <c r="I82" s="20" t="inlineStr">
        <is>
          <t>-</t>
        </is>
      </c>
      <c r="J82" s="21" t="inlineStr">
        <is>
          <t>-</t>
        </is>
      </c>
      <c r="K82" s="22" t="inlineStr">
        <is>
          <t>-</t>
        </is>
      </c>
      <c r="L82" s="20" t="inlineStr">
        <is>
          <t>-</t>
        </is>
      </c>
      <c r="M82" s="20" t="inlineStr">
        <is>
          <t>-</t>
        </is>
      </c>
    </row>
    <row r="83">
      <c r="A83" s="18" t="inlineStr"/>
      <c r="B83" s="18" t="inlineStr"/>
      <c r="C83" s="18" t="inlineStr">
        <is>
          <t xml:space="preserve">    &gt; Lab: Present capstone project, demo pipeline, review evidence and certification roadmap</t>
        </is>
      </c>
      <c r="D83" s="18" t="inlineStr">
        <is>
          <t>-</t>
        </is>
      </c>
      <c r="E83" s="18" t="inlineStr">
        <is>
          <t>EC2 t3.xlarge</t>
        </is>
      </c>
      <c r="F83" s="18" t="inlineStr">
        <is>
          <t>AWS EC2 (billed hourly, N-hr lab day)</t>
        </is>
      </c>
      <c r="G83" s="19">
        <f>'Assumptions'!$D$13</f>
        <v/>
      </c>
      <c r="H83" s="20">
        <f>G83*'Assumptions'!$B$6</f>
        <v/>
      </c>
      <c r="I83" s="20" t="inlineStr">
        <is>
          <t>-</t>
        </is>
      </c>
      <c r="J83" s="21" t="inlineStr">
        <is>
          <t>-</t>
        </is>
      </c>
      <c r="K83" s="22" t="inlineStr">
        <is>
          <t>-</t>
        </is>
      </c>
      <c r="L83" s="20" t="inlineStr">
        <is>
          <t>-</t>
        </is>
      </c>
      <c r="M83" s="20" t="inlineStr">
        <is>
          <t>-</t>
        </is>
      </c>
    </row>
    <row r="84">
      <c r="A84" s="23" t="inlineStr"/>
      <c r="B84" s="23" t="inlineStr"/>
      <c r="C84" s="23" t="inlineStr">
        <is>
          <t xml:space="preserve">    &gt; Jira: Final sprint review, retrospective and release notes</t>
        </is>
      </c>
      <c r="D84" s="23" t="inlineStr">
        <is>
          <t>-</t>
        </is>
      </c>
      <c r="E84" s="23" t="inlineStr">
        <is>
          <t>Jira</t>
        </is>
      </c>
      <c r="F84" s="23" t="inlineStr">
        <is>
          <t>Free / 3rd-party (not cloud-provider billed)</t>
        </is>
      </c>
      <c r="G84" s="24">
        <f>0</f>
        <v/>
      </c>
      <c r="H84" s="25">
        <f>G84*'Assumptions'!$B$6</f>
        <v/>
      </c>
      <c r="I84" s="25" t="inlineStr">
        <is>
          <t>-</t>
        </is>
      </c>
      <c r="J84" s="26" t="inlineStr">
        <is>
          <t>-</t>
        </is>
      </c>
      <c r="K84" s="27" t="inlineStr">
        <is>
          <t>-</t>
        </is>
      </c>
      <c r="L84" s="25" t="inlineStr">
        <is>
          <t>-</t>
        </is>
      </c>
      <c r="M84" s="25" t="inlineStr">
        <is>
          <t>-</t>
        </is>
      </c>
    </row>
    <row r="85">
      <c r="A85" s="33" t="inlineStr"/>
      <c r="B85" s="33" t="inlineStr"/>
      <c r="C85" s="33" t="inlineStr">
        <is>
          <t>TOTAL (all day-bearing TOC rows)</t>
        </is>
      </c>
      <c r="D85" s="33" t="inlineStr"/>
      <c r="E85" s="33" t="inlineStr"/>
      <c r="F85" s="33" t="inlineStr"/>
      <c r="G85" s="34" t="inlineStr"/>
      <c r="H85" s="35" t="inlineStr"/>
      <c r="I85" s="35" t="inlineStr"/>
      <c r="J85" s="36">
        <f>SUM(J5,J13,J21,J29,J37,J45,J53,J61,J69,J77)</f>
        <v/>
      </c>
      <c r="K85" s="37" t="inlineStr"/>
      <c r="L85" s="35" t="inlineStr"/>
      <c r="M85" s="35">
        <f>SUM(M5,M13,M21,M29,M37,M45,M53,M61,M69,M77)</f>
        <v/>
      </c>
    </row>
    <row r="87" ht="34" customHeight="1">
      <c r="A87" s="38" t="inlineStr">
        <is>
          <t>Green rows are free/open-source or third-party tools from the cloud-provider perspective. Rates are approximate; verify region, taxes, quotas, storage, egress, and vendor subscriptions before final budgeting.</t>
        </is>
      </c>
    </row>
  </sheetData>
  <autoFilter ref="A4:M84"/>
  <mergeCells count="3">
    <mergeCell ref="A87:M87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2026-08-20T10:01:34Z</dcterms:created>
  <dcterms:modified xmlns:dcterms="http://purl.org/dc/terms/" xmlns:xsi="http://www.w3.org/2001/XMLSchema-instance" xsi:type="dcterms:W3CDTF">2026-08-20T10:01:35Z</dcterms:modified>
</cp:coreProperties>
</file>