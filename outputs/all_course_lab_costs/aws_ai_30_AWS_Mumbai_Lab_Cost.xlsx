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Assumptions" sheetId="1" state="visible" r:id="rId1"/>
    <sheet xmlns:r="http://schemas.openxmlformats.org/officeDocument/2006/relationships" name="Rate Card" sheetId="2" state="visible" r:id="rId2"/>
    <sheet xmlns:r="http://schemas.openxmlformats.org/officeDocument/2006/relationships" name="TOC Mapping" sheetId="3" state="visible" r:id="rId3"/>
    <sheet xmlns:r="http://schemas.openxmlformats.org/officeDocument/2006/relationships" name="Resource Cost Breakdown" sheetId="4" state="visible" r:id="rId4"/>
    <sheet xmlns:r="http://schemas.openxmlformats.org/officeDocument/2006/relationships" name="Client Estimate" sheetId="5" state="visible" r:id="rId5"/>
  </sheets>
  <definedNames/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0.0%;[Red](0.0%);-"/>
    <numFmt numFmtId="165" formatCode="$0.0000;[Red]($0.0000);-"/>
    <numFmt numFmtId="166" formatCode="₹#,##0.00;[Red](₹#,##0.00);-"/>
    <numFmt numFmtId="167" formatCode="yyyy-mm-dd"/>
  </numFmts>
  <fonts count="9">
    <font>
      <name val="Carlito"/>
      <sz val="11"/>
    </font>
    <font>
      <name val="Carlito"/>
      <b val="1"/>
      <color rgb="FFFFFFFF"/>
      <sz val="16"/>
    </font>
    <font>
      <name val="Carlito"/>
      <b val="1"/>
      <color rgb="FFFFFFFF"/>
      <sz val="11"/>
    </font>
    <font>
      <name val="Carlito"/>
      <color rgb="FF0000FF"/>
      <sz val="11"/>
    </font>
    <font>
      <name val="Carlito"/>
      <b val="1"/>
      <color rgb="FF595959"/>
      <sz val="11"/>
    </font>
    <font>
      <name val="Carlito"/>
      <color rgb="FF008000"/>
      <sz val="11"/>
    </font>
    <font>
      <name val="Carlito"/>
      <color rgb="FF000000"/>
      <sz val="11"/>
    </font>
    <font>
      <name val="Carlito"/>
      <b val="1"/>
      <color rgb="FF000000"/>
      <sz val="11"/>
    </font>
    <font>
      <name val="Carlito"/>
      <b val="1"/>
      <color rgb="FF008000"/>
      <sz val="11"/>
    </font>
  </fonts>
  <fills count="6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2F75B5"/>
      </patternFill>
    </fill>
    <fill>
      <patternFill patternType="solid">
        <fgColor rgb="FFFFF2CC"/>
      </patternFill>
    </fill>
    <fill>
      <patternFill patternType="solid">
        <fgColor rgb="FFE2F0D9"/>
      </patternFill>
    </fill>
  </fills>
  <borders count="2">
    <border/>
    <border/>
  </borders>
  <cellStyleXfs count="1">
    <xf numFmtId="0" fontId="0" fillId="0" borderId="1"/>
  </cellStyleXfs>
  <cellXfs count="97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2" fillId="3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vertical="center"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4" borderId="0" pivotButton="0" quotePrefix="0" xfId="0"/>
    <xf numFmtId="0" fontId="0" fillId="4" borderId="1" pivotButton="0" quotePrefix="0" xfId="0"/>
    <xf numFmtId="0" fontId="3" fillId="4" borderId="1" pivotButton="0" quotePrefix="0" xfId="0"/>
    <xf numFmtId="164" fontId="3" fillId="4" borderId="0" pivotButton="0" quotePrefix="0" xfId="0"/>
    <xf numFmtId="164" fontId="3" fillId="4" borderId="1" pivotButton="0" quotePrefix="0" xfId="0"/>
    <xf numFmtId="0" fontId="4" fillId="0" borderId="0" pivotButton="0" quotePrefix="0" xfId="0"/>
    <xf numFmtId="0" fontId="4" fillId="0" borderId="1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  <xf numFmtId="0" fontId="3" fillId="4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wrapText="1"/>
    </xf>
    <xf numFmtId="0" fontId="4" fillId="0" borderId="1" applyAlignment="1" pivotButton="0" quotePrefix="0" xfId="0">
      <alignment wrapText="1"/>
    </xf>
    <xf numFmtId="0" fontId="3" fillId="4" borderId="1" applyAlignment="1" pivotButton="0" quotePrefix="0" xfId="0">
      <alignment wrapText="1"/>
    </xf>
    <xf numFmtId="164" fontId="3" fillId="4" borderId="1" applyAlignment="1" pivotButton="0" quotePrefix="0" xfId="0">
      <alignment wrapText="1"/>
    </xf>
    <xf numFmtId="0" fontId="5" fillId="0" borderId="0" pivotButton="0" quotePrefix="0" xfId="0"/>
    <xf numFmtId="0" fontId="5" fillId="0" borderId="1" pivotButton="0" quotePrefix="0" xfId="0"/>
    <xf numFmtId="165" fontId="3" fillId="4" borderId="0" pivotButton="0" quotePrefix="0" xfId="0"/>
    <xf numFmtId="165" fontId="3" fillId="4" borderId="1" pivotButton="0" quotePrefix="0" xfId="0"/>
    <xf numFmtId="166" fontId="5" fillId="0" borderId="0" pivotButton="0" quotePrefix="0" xfId="0"/>
    <xf numFmtId="166" fontId="5" fillId="0" borderId="1" pivotButton="0" quotePrefix="0" xfId="0"/>
    <xf numFmtId="167" fontId="0" fillId="0" borderId="0" pivotButton="0" quotePrefix="0" xfId="0"/>
    <xf numFmtId="167" fontId="0" fillId="0" borderId="1" pivotButton="0" quotePrefix="0" xfId="0"/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5" fontId="3" fillId="4" borderId="1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7" fontId="0" fillId="0" borderId="1" applyAlignment="1" pivotButton="0" quotePrefix="0" xfId="0">
      <alignment wrapText="1"/>
    </xf>
    <xf numFmtId="0" fontId="2" fillId="2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left" vertical="center"/>
    </xf>
    <xf numFmtId="0" fontId="2" fillId="2" borderId="1" pivotButton="0" quotePrefix="0" xfId="0"/>
    <xf numFmtId="0" fontId="2" fillId="2" borderId="1" applyAlignment="1" pivotButton="0" quotePrefix="0" xfId="0">
      <alignment horizontal="left"/>
    </xf>
    <xf numFmtId="0" fontId="2" fillId="2" borderId="1" applyAlignment="1" pivotButton="0" quotePrefix="0" xfId="0">
      <alignment horizontal="left" vertical="center"/>
    </xf>
    <xf numFmtId="0" fontId="6" fillId="0" borderId="0" pivotButton="0" quotePrefix="0" xfId="0"/>
    <xf numFmtId="0" fontId="6" fillId="0" borderId="1" pivotButton="0" quotePrefix="0" xfId="0"/>
    <xf numFmtId="0" fontId="0" fillId="5" borderId="0" pivotButton="0" quotePrefix="0" xfId="0"/>
    <xf numFmtId="0" fontId="7" fillId="5" borderId="0" pivotButton="0" quotePrefix="0" xfId="0"/>
    <xf numFmtId="0" fontId="0" fillId="5" borderId="1" pivotButton="0" quotePrefix="0" xfId="0"/>
    <xf numFmtId="0" fontId="7" fillId="5" borderId="1" pivotButton="0" quotePrefix="0" xfId="0"/>
    <xf numFmtId="166" fontId="6" fillId="0" borderId="0" pivotButton="0" quotePrefix="0" xfId="0"/>
    <xf numFmtId="166" fontId="0" fillId="0" borderId="0" pivotButton="0" quotePrefix="0" xfId="0"/>
    <xf numFmtId="166" fontId="7" fillId="5" borderId="0" pivotButton="0" quotePrefix="0" xfId="0"/>
    <xf numFmtId="166" fontId="6" fillId="0" borderId="1" pivotButton="0" quotePrefix="0" xfId="0"/>
    <xf numFmtId="166" fontId="0" fillId="0" borderId="1" pivotButton="0" quotePrefix="0" xfId="0"/>
    <xf numFmtId="166" fontId="7" fillId="5" borderId="1" pivotButton="0" quotePrefix="0" xfId="0"/>
    <xf numFmtId="0" fontId="5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0" fontId="2" fillId="2" borderId="0" applyAlignment="1" pivotButton="0" quotePrefix="0" xfId="0">
      <alignment horizontal="left" vertical="center" wrapText="1"/>
    </xf>
    <xf numFmtId="166" fontId="7" fillId="5" borderId="0" applyAlignment="1" pivotButton="0" quotePrefix="0" xfId="0">
      <alignment wrapText="1"/>
    </xf>
    <xf numFmtId="0" fontId="5" fillId="0" borderId="1" applyAlignment="1" pivotButton="0" quotePrefix="0" xfId="0">
      <alignment wrapText="1"/>
    </xf>
    <xf numFmtId="166" fontId="6" fillId="0" borderId="1" applyAlignment="1" pivotButton="0" quotePrefix="0" xfId="0">
      <alignment wrapText="1"/>
    </xf>
    <xf numFmtId="166" fontId="0" fillId="0" borderId="1" applyAlignment="1" pivotButton="0" quotePrefix="0" xfId="0">
      <alignment wrapText="1"/>
    </xf>
    <xf numFmtId="0" fontId="2" fillId="2" borderId="1" applyAlignment="1" pivotButton="0" quotePrefix="0" xfId="0">
      <alignment horizontal="left" vertical="center" wrapText="1"/>
    </xf>
    <xf numFmtId="166" fontId="7" fillId="5" borderId="1" applyAlignment="1" pivotButton="0" quotePrefix="0" xfId="0">
      <alignment wrapText="1"/>
    </xf>
    <xf numFmtId="0" fontId="4" fillId="5" borderId="0" pivotButton="0" quotePrefix="0" xfId="0"/>
    <xf numFmtId="166" fontId="5" fillId="5" borderId="0" pivotButton="0" quotePrefix="0" xfId="0"/>
    <xf numFmtId="166" fontId="8" fillId="5" borderId="0" pivotButton="0" quotePrefix="0" xfId="0"/>
    <xf numFmtId="0" fontId="4" fillId="5" borderId="1" pivotButton="0" quotePrefix="0" xfId="0"/>
    <xf numFmtId="166" fontId="5" fillId="5" borderId="1" pivotButton="0" quotePrefix="0" xfId="0"/>
    <xf numFmtId="166" fontId="8" fillId="5" borderId="1" pivotButton="0" quotePrefix="0" xfId="0"/>
    <xf numFmtId="0" fontId="4" fillId="5" borderId="0" applyAlignment="1" pivotButton="0" quotePrefix="0" xfId="0">
      <alignment wrapText="1"/>
    </xf>
    <xf numFmtId="166" fontId="8" fillId="5" borderId="0" applyAlignment="1" pivotButton="0" quotePrefix="0" xfId="0">
      <alignment wrapText="1"/>
    </xf>
    <xf numFmtId="164" fontId="3" fillId="4" borderId="0" applyAlignment="1" pivotButton="0" quotePrefix="0" xfId="0">
      <alignment wrapText="1"/>
    </xf>
    <xf numFmtId="165" fontId="3" fillId="4" borderId="0" applyAlignment="1" pivotButton="0" quotePrefix="0" xfId="0">
      <alignment wrapText="1"/>
    </xf>
    <xf numFmtId="166" fontId="5" fillId="0" borderId="0" applyAlignment="1" pivotButton="0" quotePrefix="0" xfId="0">
      <alignment wrapText="1"/>
    </xf>
    <xf numFmtId="167" fontId="0" fillId="0" borderId="0" applyAlignment="1" pivotButton="0" quotePrefix="0" xfId="0">
      <alignment wrapText="1"/>
    </xf>
    <xf numFmtId="166" fontId="6" fillId="0" borderId="0" applyAlignment="1" pivotButton="0" quotePrefix="0" xfId="0">
      <alignment wrapText="1"/>
    </xf>
    <xf numFmtId="166" fontId="0" fillId="0" borderId="0" applyAlignment="1" pivotButton="0" quotePrefix="0" xfId="0">
      <alignment wrapText="1"/>
    </xf>
    <xf numFmtId="166" fontId="7" fillId="5" borderId="0" applyAlignment="1" pivotButton="0" quotePrefix="0" xfId="0">
      <alignment wrapText="1"/>
    </xf>
    <xf numFmtId="166" fontId="5" fillId="0" borderId="1" applyAlignment="1" pivotButton="0" quotePrefix="0" xfId="0">
      <alignment wrapText="1"/>
    </xf>
    <xf numFmtId="166" fontId="8" fillId="5" borderId="1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Codex</author>
  </authors>
  <commentList>
    <comment ref="G31" authorId="0" shapeId="0">
      <text>
        <t>template fallback — replace with current SKU rate before approval</t>
      </text>
    </comment>
    <comment ref="G32" authorId="0" shapeId="0">
      <text>
        <t>template fallback — replace with current SKU rate before approval</t>
      </text>
    </comment>
  </commentList>
</comments>
</file>

<file path=xl/tables/table1.xml><?xml version="1.0" encoding="utf-8"?>
<table xmlns="http://schemas.openxmlformats.org/spreadsheetml/2006/main" id="1" name="RateCardTable" displayName="RateCardTable" ref="A3:H30" headerRowCount="1" totalsRowCount="0" totalsRowShown="0">
  <tableColumns count="8">
    <tableColumn id="1" name="Provider"/>
    <tableColumn id="2" name="Region"/>
    <tableColumn id="3" name="Resource"/>
    <tableColumn id="4" name="Billing unit"/>
    <tableColumn id="5" name="USD rate"/>
    <tableColumn id="6" name="INR rate"/>
    <tableColumn id="7" name="Source URL"/>
    <tableColumn id="8" name="Last verified dat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OCMappingTable" displayName="TOCMappingTable" ref="A3:I33" headerRowCount="1" totalsRowCount="0" totalsRowShown="0">
  <tableColumns count="8">
    <tableColumn id="1" name="Day"/>
    <tableColumn id="2" name="Training topic"/>
    <tableColumn id="3" name="VM qty"/>
    <tableColumn id="4" name="VM profile"/>
    <tableColumn id="5" name="K8s control plane"/>
    <tableColumn id="6" name="K8s worker nodes"/>
    <tableColumn id="7" name="Managed DB"/>
    <tableColumn id="8" name="Object storag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ResourceCostTable" displayName="ResourceCostTable" ref="A3:J12" headerRowCount="1" totalsRowCount="0" totalsRowShown="0">
  <tableColumns count="10">
    <tableColumn id="1" name="Resource"/>
    <tableColumn id="2" name="Quantity"/>
    <tableColumn id="3" name="Billing unit"/>
    <tableColumn id="4" name="Rate (INR)"/>
    <tableColumn id="5" name="Usage driver"/>
    <tableColumn id="6" name="Days / Hours"/>
    <tableColumn id="7" name="Formula basis"/>
    <tableColumn id="8" name="Total (INR)"/>
    <tableColumn id="9" name="Provider"/>
    <tableColumn id="10" name="Reg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7" customWidth="1" min="1" max="1"/>
    <col width="22" customWidth="1" min="2" max="2"/>
    <col width="27" customWidth="1" min="3" max="3"/>
    <col width="34" customWidth="1" min="4" max="4"/>
  </cols>
  <sheetData>
    <row r="1" ht="28" customHeight="1">
      <c r="A1" s="33" t="inlineStr">
        <is>
          <t>Lab Cost Model – Assumptions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14" t="inlineStr">
        <is>
          <t>Assumption</t>
        </is>
      </c>
      <c r="B3" s="14" t="inlineStr">
        <is>
          <t>Value</t>
        </is>
      </c>
      <c r="C3" s="14" t="inlineStr">
        <is>
          <t>Unit / Option</t>
        </is>
      </c>
      <c r="D3" s="14" t="inlineStr">
        <is>
          <t>Notes</t>
        </is>
      </c>
    </row>
    <row r="4">
      <c r="A4" s="30" t="inlineStr">
        <is>
          <t>Training title</t>
        </is>
      </c>
      <c r="B4" s="31" t="inlineStr">
        <is>
          <t>AWS AI</t>
        </is>
      </c>
      <c r="C4" s="29" t="inlineStr">
        <is>
          <t>Text</t>
        </is>
      </c>
      <c r="D4" s="29" t="inlineStr">
        <is>
          <t>Client-facing title</t>
        </is>
      </c>
    </row>
    <row r="5">
      <c r="A5" s="30" t="inlineStr">
        <is>
          <t>Cloud provider</t>
        </is>
      </c>
      <c r="B5" s="31" t="inlineStr">
        <is>
          <t>AWS</t>
        </is>
      </c>
      <c r="C5" s="29" t="inlineStr">
        <is>
          <t>AWS / Azure / GCP</t>
        </is>
      </c>
      <c r="D5" s="29" t="inlineStr">
        <is>
          <t>Select provider</t>
        </is>
      </c>
    </row>
    <row r="6">
      <c r="A6" s="30" t="inlineStr">
        <is>
          <t>Region</t>
        </is>
      </c>
      <c r="B6" s="31" t="inlineStr">
        <is>
          <t>Mumbai</t>
        </is>
      </c>
      <c r="C6" s="29" t="inlineStr">
        <is>
          <t>Mumbai / Central India / GCP Mumbai</t>
        </is>
      </c>
      <c r="D6" s="29" t="inlineStr">
        <is>
          <t>Select matching region</t>
        </is>
      </c>
    </row>
    <row r="7">
      <c r="A7" s="30" t="inlineStr">
        <is>
          <t>Hours per day</t>
        </is>
      </c>
      <c r="B7" s="31" t="n">
        <v>3</v>
      </c>
      <c r="C7" s="29" t="inlineStr">
        <is>
          <t>hours</t>
        </is>
      </c>
      <c r="D7" s="29" t="inlineStr">
        <is>
          <t>Lab runtime per training day</t>
        </is>
      </c>
    </row>
    <row r="8">
      <c r="A8" s="30" t="inlineStr">
        <is>
          <t>Training days</t>
        </is>
      </c>
      <c r="B8" s="31" t="n">
        <v>30</v>
      </c>
      <c r="C8" s="29" t="inlineStr">
        <is>
          <t>days</t>
        </is>
      </c>
      <c r="D8" s="29" t="inlineStr">
        <is>
          <t>Total training days</t>
        </is>
      </c>
    </row>
    <row r="9">
      <c r="A9" s="30" t="inlineStr">
        <is>
          <t>Participants</t>
        </is>
      </c>
      <c r="B9" s="31" t="n">
        <v>20</v>
      </c>
      <c r="C9" s="29" t="inlineStr">
        <is>
          <t>people</t>
        </is>
      </c>
      <c r="D9" s="29" t="inlineStr">
        <is>
          <t>Number of learners</t>
        </is>
      </c>
    </row>
    <row r="10">
      <c r="A10" s="30" t="inlineStr">
        <is>
          <t>Storage GB</t>
        </is>
      </c>
      <c r="B10" s="31" t="n">
        <v>10</v>
      </c>
      <c r="C10" s="29" t="inlineStr">
        <is>
          <t>GB</t>
        </is>
      </c>
      <c r="D10" s="29" t="inlineStr">
        <is>
          <t>Object storage requirement</t>
        </is>
      </c>
    </row>
    <row r="11">
      <c r="A11" s="30" t="inlineStr">
        <is>
          <t>Data egress GB</t>
        </is>
      </c>
      <c r="B11" s="31" t="n">
        <v>1</v>
      </c>
      <c r="C11" s="29" t="inlineStr">
        <is>
          <t>GB</t>
        </is>
      </c>
      <c r="D11" s="29" t="inlineStr">
        <is>
          <t>Estimated outbound transfer</t>
        </is>
      </c>
    </row>
    <row r="12">
      <c r="A12" s="30" t="inlineStr">
        <is>
          <t>Build minutes</t>
        </is>
      </c>
      <c r="B12" s="31" t="n">
        <v>60</v>
      </c>
      <c r="C12" s="29" t="inlineStr">
        <is>
          <t>minutes</t>
        </is>
      </c>
      <c r="D12" s="29" t="inlineStr">
        <is>
          <t>CI/CD runner usage</t>
        </is>
      </c>
    </row>
    <row r="13">
      <c r="A13" s="30" t="inlineStr">
        <is>
          <t>Monitoring GB</t>
        </is>
      </c>
      <c r="B13" s="31" t="n">
        <v>1</v>
      </c>
      <c r="C13" s="29" t="inlineStr">
        <is>
          <t>GB</t>
        </is>
      </c>
      <c r="D13" s="29" t="inlineStr">
        <is>
          <t>Monitoring/log ingestion</t>
        </is>
      </c>
    </row>
    <row r="14">
      <c r="A14" s="30" t="inlineStr">
        <is>
          <t>Kubernetes worker nodes</t>
        </is>
      </c>
      <c r="B14" s="31" t="n">
        <v>1</v>
      </c>
      <c r="C14" s="29" t="inlineStr">
        <is>
          <t>nodes</t>
        </is>
      </c>
      <c r="D14" s="29" t="inlineStr">
        <is>
          <t>Worker count when Kubernetes is used</t>
        </is>
      </c>
    </row>
    <row r="15">
      <c r="A15" s="30" t="inlineStr">
        <is>
          <t>USD-to-INR rate</t>
        </is>
      </c>
      <c r="B15" s="31" t="n">
        <v>84</v>
      </c>
      <c r="C15" s="29" t="inlineStr">
        <is>
          <t>INR/USD</t>
        </is>
      </c>
      <c r="D15" s="29" t="inlineStr">
        <is>
          <t>Update with current conversion rate</t>
        </is>
      </c>
    </row>
    <row r="16">
      <c r="A16" s="30" t="inlineStr">
        <is>
          <t>Contingency percentage</t>
        </is>
      </c>
      <c r="B16" s="88" t="n">
        <v>0.1</v>
      </c>
      <c r="C16" s="29" t="inlineStr">
        <is>
          <t>%</t>
        </is>
      </c>
      <c r="D16" s="29" t="inlineStr">
        <is>
          <t>Risk buffer</t>
        </is>
      </c>
    </row>
    <row r="17">
      <c r="A17" s="30" t="inlineStr">
        <is>
          <t>GST percentage</t>
        </is>
      </c>
      <c r="B17" s="88" t="n">
        <v>0.18</v>
      </c>
      <c r="C17" s="29" t="inlineStr">
        <is>
          <t>%</t>
        </is>
      </c>
      <c r="D17" s="29" t="inlineStr">
        <is>
          <t>India GST assumption</t>
        </is>
      </c>
    </row>
    <row r="18">
      <c r="A18" s="30" t="inlineStr">
        <is>
          <t>Package</t>
        </is>
      </c>
      <c r="B18" s="31" t="inlineStr">
        <is>
          <t>Standard</t>
        </is>
      </c>
      <c r="C18" s="29" t="inlineStr">
        <is>
          <t>Basic / Standard / Advanced</t>
        </is>
      </c>
      <c r="D18" s="29" t="inlineStr">
        <is>
          <t>Controls support pricing</t>
        </is>
      </c>
    </row>
    <row r="19">
      <c r="A19" s="30" t="inlineStr">
        <is>
          <t>Quote validity</t>
        </is>
      </c>
      <c r="B19" s="31" t="n">
        <v>7</v>
      </c>
      <c r="C19" s="29" t="inlineStr">
        <is>
          <t>days</t>
        </is>
      </c>
      <c r="D19" s="29" t="inlineStr">
        <is>
          <t>Validity from quote date</t>
        </is>
      </c>
    </row>
    <row r="20">
      <c r="A20" s="30" t="inlineStr">
        <is>
          <t>Disk GB per VM / worker node</t>
        </is>
      </c>
      <c r="B20" s="31" t="n">
        <v>20</v>
      </c>
      <c r="C20" s="29" t="inlineStr">
        <is>
          <t>GB</t>
        </is>
      </c>
      <c r="D20" s="29" t="inlineStr">
        <is>
          <t>Explicit sizing assumption; replace with lab-template node sizing when supplied</t>
        </is>
      </c>
    </row>
    <row r="21">
      <c r="A21" s="30" t="inlineStr">
        <is>
          <t>Applied support rate (INR / participant-day)</t>
        </is>
      </c>
      <c r="B21" s="31">
        <f>IF(B23="Basic",B24,IF(B23="Standard",B25,B26))</f>
        <v/>
      </c>
      <c r="C21" s="29" t="inlineStr">
        <is>
          <t>INR / participant-day</t>
        </is>
      </c>
      <c r="D21" s="29" t="inlineStr">
        <is>
          <t>Formula selects the applied support tier; total scales with participants and training days</t>
        </is>
      </c>
    </row>
    <row r="22">
      <c r="A22" s="30" t="inlineStr">
        <is>
          <t>Advanced support threshold</t>
        </is>
      </c>
      <c r="B22" s="31" t="n">
        <v>400</v>
      </c>
      <c r="C22" s="29" t="inlineStr">
        <is>
          <t>participant-days</t>
        </is>
      </c>
      <c r="D22" s="29" t="inlineStr">
        <is>
          <t>At or above this engagement size, Standard is automatically quoted as Advanced support</t>
        </is>
      </c>
    </row>
    <row r="23">
      <c r="A23" s="30" t="inlineStr">
        <is>
          <t>Applied support tier</t>
        </is>
      </c>
      <c r="B23" s="31">
        <f>IF(B9*B8&gt;=B22,"Advanced",B18)</f>
        <v/>
      </c>
      <c r="C23" s="29" t="inlineStr">
        <is>
          <t>tier</t>
        </is>
      </c>
      <c r="D23" s="29" t="inlineStr">
        <is>
          <t>Uses participant count × training days</t>
        </is>
      </c>
    </row>
    <row r="24">
      <c r="A24" s="30" t="inlineStr">
        <is>
          <t>Basic support rate</t>
        </is>
      </c>
      <c r="B24" s="31" t="n">
        <v>0</v>
      </c>
      <c r="C24" s="29" t="inlineStr">
        <is>
          <t>INR / participant-day</t>
        </is>
      </c>
      <c r="D24" s="29" t="inlineStr">
        <is>
          <t>Editable commercial rate</t>
        </is>
      </c>
    </row>
    <row r="25">
      <c r="A25" s="30" t="inlineStr">
        <is>
          <t>Standard support rate</t>
        </is>
      </c>
      <c r="B25" s="31" t="n">
        <v>0</v>
      </c>
      <c r="C25" s="29" t="inlineStr">
        <is>
          <t>INR / participant-day</t>
        </is>
      </c>
      <c r="D25" s="29" t="inlineStr">
        <is>
          <t>Editable commercial rate</t>
        </is>
      </c>
    </row>
    <row r="26">
      <c r="A26" s="30" t="inlineStr">
        <is>
          <t>Advanced support rate</t>
        </is>
      </c>
      <c r="B26" s="31" t="n">
        <v>0</v>
      </c>
      <c r="C26" s="29" t="inlineStr">
        <is>
          <t>INR / participant-day</t>
        </is>
      </c>
      <c r="D26" s="29" t="inlineStr">
        <is>
          <t>Editable commercial rate</t>
        </is>
      </c>
    </row>
    <row r="27">
      <c r="A27" s="30" t="inlineStr">
        <is>
          <t>VM profile pricing status</t>
        </is>
      </c>
      <c r="B27" s="31" t="inlineStr">
        <is>
          <t>Template fallback — approval blocked</t>
        </is>
      </c>
      <c r="C27" s="29" t="inlineStr">
        <is>
          <t>2026-09-06</t>
        </is>
      </c>
      <c r="D27" s="29" t="inlineStr">
        <is>
          <t>Enter vm_profile_rates and vm_profile_sources with current provider URLs before final client approval</t>
        </is>
      </c>
    </row>
  </sheetData>
  <mergeCells count="1">
    <mergeCell ref="A1:D1"/>
  </mergeCells>
  <dataValidations count="3">
    <dataValidation sqref="B5" showDropDown="0" showInputMessage="0" showErrorMessage="0" allowBlank="0" type="list">
      <formula1>"AWS,Azure,GCP"</formula1>
    </dataValidation>
    <dataValidation sqref="B6" showDropDown="0" showInputMessage="0" showErrorMessage="0" allowBlank="0" type="list">
      <formula1>"Mumbai,Central India,GCP Mumbai"</formula1>
    </dataValidation>
    <dataValidation sqref="B18" showDropDown="0" showInputMessage="0" showErrorMessage="0" allowBlank="0" type="list">
      <formula1>"Basic,Standard,Advanced"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2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26" customWidth="1" min="3" max="3"/>
    <col width="21" customWidth="1" min="4" max="4"/>
    <col width="14" customWidth="1" min="5" max="5"/>
    <col width="14" customWidth="1" min="6" max="6"/>
    <col width="46" customWidth="1" min="7" max="7"/>
    <col width="18" customWidth="1" min="8" max="8"/>
  </cols>
  <sheetData>
    <row r="1" ht="28" customHeight="1">
      <c r="A1" s="33" t="inlineStr">
        <is>
          <t>Rate Card – Editable Provider Pricing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</row>
    <row r="3">
      <c r="A3" s="14" t="inlineStr">
        <is>
          <t>Provider</t>
        </is>
      </c>
      <c r="B3" s="14" t="inlineStr">
        <is>
          <t>Region</t>
        </is>
      </c>
      <c r="C3" s="14" t="inlineStr">
        <is>
          <t>Resource</t>
        </is>
      </c>
      <c r="D3" s="14" t="inlineStr">
        <is>
          <t>Billing unit</t>
        </is>
      </c>
      <c r="E3" s="14" t="inlineStr">
        <is>
          <t>USD rate</t>
        </is>
      </c>
      <c r="F3" s="14" t="inlineStr">
        <is>
          <t>INR rate</t>
        </is>
      </c>
      <c r="G3" s="14" t="inlineStr">
        <is>
          <t>Source URL</t>
        </is>
      </c>
      <c r="H3" s="14" t="inlineStr">
        <is>
          <t>Last verified date</t>
        </is>
      </c>
    </row>
    <row r="4">
      <c r="A4" s="29" t="inlineStr">
        <is>
          <t>AWS</t>
        </is>
      </c>
      <c r="B4" s="29" t="inlineStr">
        <is>
          <t>Mumbai</t>
        </is>
      </c>
      <c r="C4" s="29" t="inlineStr">
        <is>
          <t>VM</t>
        </is>
      </c>
      <c r="D4" s="29" t="inlineStr">
        <is>
          <t>per hour</t>
        </is>
      </c>
      <c r="E4" s="89" t="n">
        <v>0.05</v>
      </c>
      <c r="F4" s="90">
        <f>E4*'Assumptions'!$B$15</f>
        <v/>
      </c>
      <c r="G4" s="29" t="inlineStr">
        <is>
          <t>https://aws.amazon.com/ec2/pricing/</t>
        </is>
      </c>
      <c r="H4" s="91" t="inlineStr">
        <is>
          <t>2026-09-03</t>
        </is>
      </c>
    </row>
    <row r="5">
      <c r="A5" s="29" t="inlineStr">
        <is>
          <t>AWS</t>
        </is>
      </c>
      <c r="B5" s="29" t="inlineStr">
        <is>
          <t>Mumbai</t>
        </is>
      </c>
      <c r="C5" s="29" t="inlineStr">
        <is>
          <t>Kubernetes control plane</t>
        </is>
      </c>
      <c r="D5" s="29" t="inlineStr">
        <is>
          <t>per cluster-hour</t>
        </is>
      </c>
      <c r="E5" s="89" t="n">
        <v>0.1</v>
      </c>
      <c r="F5" s="90">
        <f>E5*'Assumptions'!$B$15</f>
        <v/>
      </c>
      <c r="G5" s="29" t="inlineStr">
        <is>
          <t>https://aws.amazon.com/eks/pricing/</t>
        </is>
      </c>
      <c r="H5" s="91" t="inlineStr">
        <is>
          <t>2026-09-03</t>
        </is>
      </c>
    </row>
    <row r="6">
      <c r="A6" s="29" t="inlineStr">
        <is>
          <t>AWS</t>
        </is>
      </c>
      <c r="B6" s="29" t="inlineStr">
        <is>
          <t>Mumbai</t>
        </is>
      </c>
      <c r="C6" s="29" t="inlineStr">
        <is>
          <t>Kubernetes worker</t>
        </is>
      </c>
      <c r="D6" s="29" t="inlineStr">
        <is>
          <t>per VM-hour</t>
        </is>
      </c>
      <c r="E6" s="89" t="n">
        <v>0.05</v>
      </c>
      <c r="F6" s="90">
        <f>E6*'Assumptions'!$B$15</f>
        <v/>
      </c>
      <c r="G6" s="29" t="inlineStr">
        <is>
          <t>https://aws.amazon.com/ec2/pricing/</t>
        </is>
      </c>
      <c r="H6" s="91" t="inlineStr">
        <is>
          <t>2026-09-03</t>
        </is>
      </c>
    </row>
    <row r="7">
      <c r="A7" s="29" t="inlineStr">
        <is>
          <t>AWS</t>
        </is>
      </c>
      <c r="B7" s="29" t="inlineStr">
        <is>
          <t>Mumbai</t>
        </is>
      </c>
      <c r="C7" s="29" t="inlineStr">
        <is>
          <t>Disk</t>
        </is>
      </c>
      <c r="D7" s="29" t="inlineStr">
        <is>
          <t>GB-month</t>
        </is>
      </c>
      <c r="E7" s="89" t="n">
        <v>0.08</v>
      </c>
      <c r="F7" s="90">
        <f>E7*'Assumptions'!$B$15</f>
        <v/>
      </c>
      <c r="G7" s="29" t="inlineStr">
        <is>
          <t>https://aws.amazon.com/ebs/pricing/</t>
        </is>
      </c>
      <c r="H7" s="91" t="inlineStr">
        <is>
          <t>2026-09-03</t>
        </is>
      </c>
    </row>
    <row r="8">
      <c r="A8" s="29" t="inlineStr">
        <is>
          <t>AWS</t>
        </is>
      </c>
      <c r="B8" s="29" t="inlineStr">
        <is>
          <t>Mumbai</t>
        </is>
      </c>
      <c r="C8" s="29" t="inlineStr">
        <is>
          <t>Storage</t>
        </is>
      </c>
      <c r="D8" s="29" t="inlineStr">
        <is>
          <t>GB-month</t>
        </is>
      </c>
      <c r="E8" s="89" t="n">
        <v>0.023</v>
      </c>
      <c r="F8" s="90">
        <f>E8*'Assumptions'!$B$15</f>
        <v/>
      </c>
      <c r="G8" s="29" t="inlineStr">
        <is>
          <t>https://aws.amazon.com/s3/pricing/</t>
        </is>
      </c>
      <c r="H8" s="91" t="inlineStr">
        <is>
          <t>2026-09-03</t>
        </is>
      </c>
    </row>
    <row r="9">
      <c r="A9" s="29" t="inlineStr">
        <is>
          <t>AWS</t>
        </is>
      </c>
      <c r="B9" s="29" t="inlineStr">
        <is>
          <t>Mumbai</t>
        </is>
      </c>
      <c r="C9" s="29" t="inlineStr">
        <is>
          <t>Egress</t>
        </is>
      </c>
      <c r="D9" s="29" t="inlineStr">
        <is>
          <t>per GB</t>
        </is>
      </c>
      <c r="E9" s="89" t="n">
        <v>0.09</v>
      </c>
      <c r="F9" s="90">
        <f>E9*'Assumptions'!$B$15</f>
        <v/>
      </c>
      <c r="G9" s="29" t="inlineStr">
        <is>
          <t>https://aws.amazon.com/ec2/pricing/on-demand/#Data_Transfer</t>
        </is>
      </c>
      <c r="H9" s="91" t="inlineStr">
        <is>
          <t>2026-09-03</t>
        </is>
      </c>
    </row>
    <row r="10">
      <c r="A10" s="29" t="inlineStr">
        <is>
          <t>AWS</t>
        </is>
      </c>
      <c r="B10" s="29" t="inlineStr">
        <is>
          <t>Mumbai</t>
        </is>
      </c>
      <c r="C10" s="29" t="inlineStr">
        <is>
          <t>Build runner</t>
        </is>
      </c>
      <c r="D10" s="29" t="inlineStr">
        <is>
          <t>per build minute</t>
        </is>
      </c>
      <c r="E10" s="89" t="n">
        <v>0.008</v>
      </c>
      <c r="F10" s="90">
        <f>E10*'Assumptions'!$B$15</f>
        <v/>
      </c>
      <c r="G10" s="29" t="inlineStr">
        <is>
          <t>https://aws.amazon.com/codebuild/pricing/</t>
        </is>
      </c>
      <c r="H10" s="91" t="inlineStr">
        <is>
          <t>2026-09-03</t>
        </is>
      </c>
    </row>
    <row r="11">
      <c r="A11" s="29" t="inlineStr">
        <is>
          <t>AWS</t>
        </is>
      </c>
      <c r="B11" s="29" t="inlineStr">
        <is>
          <t>Mumbai</t>
        </is>
      </c>
      <c r="C11" s="29" t="inlineStr">
        <is>
          <t>Managed database</t>
        </is>
      </c>
      <c r="D11" s="29" t="inlineStr">
        <is>
          <t>per hour</t>
        </is>
      </c>
      <c r="E11" s="89" t="n">
        <v>0.08</v>
      </c>
      <c r="F11" s="90">
        <f>E11*'Assumptions'!$B$15</f>
        <v/>
      </c>
      <c r="G11" s="29" t="inlineStr">
        <is>
          <t>https://aws.amazon.com/rds/pricing/</t>
        </is>
      </c>
      <c r="H11" s="91" t="inlineStr">
        <is>
          <t>2026-09-03</t>
        </is>
      </c>
    </row>
    <row r="12">
      <c r="A12" s="29" t="inlineStr">
        <is>
          <t>AWS</t>
        </is>
      </c>
      <c r="B12" s="29" t="inlineStr">
        <is>
          <t>Mumbai</t>
        </is>
      </c>
      <c r="C12" s="29" t="inlineStr">
        <is>
          <t>Monitoring</t>
        </is>
      </c>
      <c r="D12" s="29" t="inlineStr">
        <is>
          <t>per GB</t>
        </is>
      </c>
      <c r="E12" s="89" t="n">
        <v>0.5</v>
      </c>
      <c r="F12" s="90">
        <f>E12*'Assumptions'!$B$15</f>
        <v/>
      </c>
      <c r="G12" s="29" t="inlineStr">
        <is>
          <t>https://aws.amazon.com/cloudwatch/pricing/</t>
        </is>
      </c>
      <c r="H12" s="91" t="inlineStr">
        <is>
          <t>2026-09-03</t>
        </is>
      </c>
    </row>
    <row r="13">
      <c r="A13" s="29" t="inlineStr">
        <is>
          <t>Azure</t>
        </is>
      </c>
      <c r="B13" s="29" t="inlineStr">
        <is>
          <t>Central India</t>
        </is>
      </c>
      <c r="C13" s="29" t="inlineStr">
        <is>
          <t>VM</t>
        </is>
      </c>
      <c r="D13" s="29" t="inlineStr">
        <is>
          <t>per hour</t>
        </is>
      </c>
      <c r="E13" s="89" t="n">
        <v>0.055</v>
      </c>
      <c r="F13" s="90">
        <f>E13*'Assumptions'!$B$15</f>
        <v/>
      </c>
      <c r="G13" s="29" t="inlineStr">
        <is>
          <t>https://azure.microsoft.com/pricing/details/virtual-machines/</t>
        </is>
      </c>
      <c r="H13" s="91" t="inlineStr">
        <is>
          <t>2026-09-03</t>
        </is>
      </c>
    </row>
    <row r="14">
      <c r="A14" s="29" t="inlineStr">
        <is>
          <t>Azure</t>
        </is>
      </c>
      <c r="B14" s="29" t="inlineStr">
        <is>
          <t>Central India</t>
        </is>
      </c>
      <c r="C14" s="29" t="inlineStr">
        <is>
          <t>Kubernetes control plane</t>
        </is>
      </c>
      <c r="D14" s="29" t="inlineStr">
        <is>
          <t>per cluster-hour</t>
        </is>
      </c>
      <c r="E14" s="89" t="n">
        <v>0.1</v>
      </c>
      <c r="F14" s="90">
        <f>E14*'Assumptions'!$B$15</f>
        <v/>
      </c>
      <c r="G14" s="29" t="inlineStr">
        <is>
          <t>https://azure.microsoft.com/pricing/details/kubernetes-service/</t>
        </is>
      </c>
      <c r="H14" s="91" t="inlineStr">
        <is>
          <t>2026-09-03</t>
        </is>
      </c>
    </row>
    <row r="15">
      <c r="A15" s="29" t="inlineStr">
        <is>
          <t>Azure</t>
        </is>
      </c>
      <c r="B15" s="29" t="inlineStr">
        <is>
          <t>Central India</t>
        </is>
      </c>
      <c r="C15" s="29" t="inlineStr">
        <is>
          <t>Kubernetes worker</t>
        </is>
      </c>
      <c r="D15" s="29" t="inlineStr">
        <is>
          <t>per VM-hour</t>
        </is>
      </c>
      <c r="E15" s="89" t="n">
        <v>0.055</v>
      </c>
      <c r="F15" s="90">
        <f>E15*'Assumptions'!$B$15</f>
        <v/>
      </c>
      <c r="G15" s="29" t="inlineStr">
        <is>
          <t>https://azure.microsoft.com/pricing/details/virtual-machines/</t>
        </is>
      </c>
      <c r="H15" s="91" t="inlineStr">
        <is>
          <t>2026-09-03</t>
        </is>
      </c>
    </row>
    <row r="16">
      <c r="A16" s="29" t="inlineStr">
        <is>
          <t>Azure</t>
        </is>
      </c>
      <c r="B16" s="29" t="inlineStr">
        <is>
          <t>Central India</t>
        </is>
      </c>
      <c r="C16" s="29" t="inlineStr">
        <is>
          <t>Disk</t>
        </is>
      </c>
      <c r="D16" s="29" t="inlineStr">
        <is>
          <t>GB-month</t>
        </is>
      </c>
      <c r="E16" s="89" t="n">
        <v>0.09</v>
      </c>
      <c r="F16" s="90">
        <f>E16*'Assumptions'!$B$15</f>
        <v/>
      </c>
      <c r="G16" s="29" t="inlineStr">
        <is>
          <t>https://azure.microsoft.com/pricing/details/managed-disks/</t>
        </is>
      </c>
      <c r="H16" s="91" t="inlineStr">
        <is>
          <t>2026-09-03</t>
        </is>
      </c>
    </row>
    <row r="17">
      <c r="A17" s="29" t="inlineStr">
        <is>
          <t>Azure</t>
        </is>
      </c>
      <c r="B17" s="29" t="inlineStr">
        <is>
          <t>Central India</t>
        </is>
      </c>
      <c r="C17" s="29" t="inlineStr">
        <is>
          <t>Storage</t>
        </is>
      </c>
      <c r="D17" s="29" t="inlineStr">
        <is>
          <t>GB-month</t>
        </is>
      </c>
      <c r="E17" s="89" t="n">
        <v>0.02</v>
      </c>
      <c r="F17" s="90">
        <f>E17*'Assumptions'!$B$15</f>
        <v/>
      </c>
      <c r="G17" s="29" t="inlineStr">
        <is>
          <t>https://azure.microsoft.com/pricing/details/storage/blobs/</t>
        </is>
      </c>
      <c r="H17" s="91" t="inlineStr">
        <is>
          <t>2026-09-03</t>
        </is>
      </c>
    </row>
    <row r="18">
      <c r="A18" s="29" t="inlineStr">
        <is>
          <t>Azure</t>
        </is>
      </c>
      <c r="B18" s="29" t="inlineStr">
        <is>
          <t>Central India</t>
        </is>
      </c>
      <c r="C18" s="29" t="inlineStr">
        <is>
          <t>Egress</t>
        </is>
      </c>
      <c r="D18" s="29" t="inlineStr">
        <is>
          <t>per GB</t>
        </is>
      </c>
      <c r="E18" s="89" t="n">
        <v>0.08699999999999999</v>
      </c>
      <c r="F18" s="90">
        <f>E18*'Assumptions'!$B$15</f>
        <v/>
      </c>
      <c r="G18" s="29" t="inlineStr">
        <is>
          <t>https://azure.microsoft.com/pricing/details/bandwidth/</t>
        </is>
      </c>
      <c r="H18" s="91" t="inlineStr">
        <is>
          <t>2026-09-03</t>
        </is>
      </c>
    </row>
    <row r="19">
      <c r="A19" s="29" t="inlineStr">
        <is>
          <t>Azure</t>
        </is>
      </c>
      <c r="B19" s="29" t="inlineStr">
        <is>
          <t>Central India</t>
        </is>
      </c>
      <c r="C19" s="29" t="inlineStr">
        <is>
          <t>Build runner</t>
        </is>
      </c>
      <c r="D19" s="29" t="inlineStr">
        <is>
          <t>per build minute</t>
        </is>
      </c>
      <c r="E19" s="89" t="n">
        <v>0.008</v>
      </c>
      <c r="F19" s="90">
        <f>E19*'Assumptions'!$B$15</f>
        <v/>
      </c>
      <c r="G19" s="29" t="inlineStr">
        <is>
          <t>https://azure.microsoft.com/pricing/details/devops/azure-devops-services/</t>
        </is>
      </c>
      <c r="H19" s="91" t="inlineStr">
        <is>
          <t>2026-09-03</t>
        </is>
      </c>
    </row>
    <row r="20">
      <c r="A20" s="29" t="inlineStr">
        <is>
          <t>Azure</t>
        </is>
      </c>
      <c r="B20" s="29" t="inlineStr">
        <is>
          <t>Central India</t>
        </is>
      </c>
      <c r="C20" s="29" t="inlineStr">
        <is>
          <t>Managed database</t>
        </is>
      </c>
      <c r="D20" s="29" t="inlineStr">
        <is>
          <t>per hour</t>
        </is>
      </c>
      <c r="E20" s="89" t="n">
        <v>0.08500000000000001</v>
      </c>
      <c r="F20" s="90">
        <f>E20*'Assumptions'!$B$15</f>
        <v/>
      </c>
      <c r="G20" s="29" t="inlineStr">
        <is>
          <t>https://azure.microsoft.com/pricing/details/azure-sql-database/</t>
        </is>
      </c>
      <c r="H20" s="91" t="inlineStr">
        <is>
          <t>2026-09-03</t>
        </is>
      </c>
    </row>
    <row r="21">
      <c r="A21" s="29" t="inlineStr">
        <is>
          <t>Azure</t>
        </is>
      </c>
      <c r="B21" s="29" t="inlineStr">
        <is>
          <t>Central India</t>
        </is>
      </c>
      <c r="C21" s="29" t="inlineStr">
        <is>
          <t>Monitoring</t>
        </is>
      </c>
      <c r="D21" s="29" t="inlineStr">
        <is>
          <t>per GB</t>
        </is>
      </c>
      <c r="E21" s="89" t="n">
        <v>0.5</v>
      </c>
      <c r="F21" s="90">
        <f>E21*'Assumptions'!$B$15</f>
        <v/>
      </c>
      <c r="G21" s="29" t="inlineStr">
        <is>
          <t>https://azure.microsoft.com/pricing/details/monitor/</t>
        </is>
      </c>
      <c r="H21" s="91" t="inlineStr">
        <is>
          <t>2026-09-03</t>
        </is>
      </c>
    </row>
    <row r="22">
      <c r="A22" s="29" t="inlineStr">
        <is>
          <t>GCP</t>
        </is>
      </c>
      <c r="B22" s="29" t="inlineStr">
        <is>
          <t>GCP Mumbai</t>
        </is>
      </c>
      <c r="C22" s="29" t="inlineStr">
        <is>
          <t>VM</t>
        </is>
      </c>
      <c r="D22" s="29" t="inlineStr">
        <is>
          <t>per hour</t>
        </is>
      </c>
      <c r="E22" s="89" t="n">
        <v>0.052</v>
      </c>
      <c r="F22" s="90">
        <f>E22*'Assumptions'!$B$15</f>
        <v/>
      </c>
      <c r="G22" s="29" t="inlineStr">
        <is>
          <t>https://cloud.google.com/compute/vm-instance-pricing</t>
        </is>
      </c>
      <c r="H22" s="91" t="inlineStr">
        <is>
          <t>2026-09-03</t>
        </is>
      </c>
    </row>
    <row r="23">
      <c r="A23" s="29" t="inlineStr">
        <is>
          <t>GCP</t>
        </is>
      </c>
      <c r="B23" s="29" t="inlineStr">
        <is>
          <t>GCP Mumbai</t>
        </is>
      </c>
      <c r="C23" s="29" t="inlineStr">
        <is>
          <t>Kubernetes control plane</t>
        </is>
      </c>
      <c r="D23" s="29" t="inlineStr">
        <is>
          <t>per cluster-hour</t>
        </is>
      </c>
      <c r="E23" s="89" t="n">
        <v>0.1</v>
      </c>
      <c r="F23" s="90">
        <f>E23*'Assumptions'!$B$15</f>
        <v/>
      </c>
      <c r="G23" s="29" t="inlineStr">
        <is>
          <t>https://cloud.google.com/kubernetes-engine/pricing</t>
        </is>
      </c>
      <c r="H23" s="91" t="inlineStr">
        <is>
          <t>2026-09-03</t>
        </is>
      </c>
    </row>
    <row r="24">
      <c r="A24" s="29" t="inlineStr">
        <is>
          <t>GCP</t>
        </is>
      </c>
      <c r="B24" s="29" t="inlineStr">
        <is>
          <t>GCP Mumbai</t>
        </is>
      </c>
      <c r="C24" s="29" t="inlineStr">
        <is>
          <t>Kubernetes worker</t>
        </is>
      </c>
      <c r="D24" s="29" t="inlineStr">
        <is>
          <t>per VM-hour</t>
        </is>
      </c>
      <c r="E24" s="89" t="n">
        <v>0.052</v>
      </c>
      <c r="F24" s="90">
        <f>E24*'Assumptions'!$B$15</f>
        <v/>
      </c>
      <c r="G24" s="29" t="inlineStr">
        <is>
          <t>https://cloud.google.com/compute/vm-instance-pricing</t>
        </is>
      </c>
      <c r="H24" s="91" t="inlineStr">
        <is>
          <t>2026-09-03</t>
        </is>
      </c>
    </row>
    <row r="25">
      <c r="A25" s="29" t="inlineStr">
        <is>
          <t>GCP</t>
        </is>
      </c>
      <c r="B25" s="29" t="inlineStr">
        <is>
          <t>GCP Mumbai</t>
        </is>
      </c>
      <c r="C25" s="29" t="inlineStr">
        <is>
          <t>Disk</t>
        </is>
      </c>
      <c r="D25" s="29" t="inlineStr">
        <is>
          <t>GB-month</t>
        </is>
      </c>
      <c r="E25" s="89" t="n">
        <v>0.08500000000000001</v>
      </c>
      <c r="F25" s="90">
        <f>E25*'Assumptions'!$B$15</f>
        <v/>
      </c>
      <c r="G25" s="29" t="inlineStr">
        <is>
          <t>https://cloud.google.com/compute/disks-image-pricing</t>
        </is>
      </c>
      <c r="H25" s="91" t="inlineStr">
        <is>
          <t>2026-09-03</t>
        </is>
      </c>
    </row>
    <row r="26">
      <c r="A26" s="29" t="inlineStr">
        <is>
          <t>GCP</t>
        </is>
      </c>
      <c r="B26" s="29" t="inlineStr">
        <is>
          <t>GCP Mumbai</t>
        </is>
      </c>
      <c r="C26" s="29" t="inlineStr">
        <is>
          <t>Storage</t>
        </is>
      </c>
      <c r="D26" s="29" t="inlineStr">
        <is>
          <t>GB-month</t>
        </is>
      </c>
      <c r="E26" s="89" t="n">
        <v>0.02</v>
      </c>
      <c r="F26" s="90">
        <f>E26*'Assumptions'!$B$15</f>
        <v/>
      </c>
      <c r="G26" s="29" t="inlineStr">
        <is>
          <t>https://cloud.google.com/storage/pricing</t>
        </is>
      </c>
      <c r="H26" s="91" t="inlineStr">
        <is>
          <t>2026-09-03</t>
        </is>
      </c>
    </row>
    <row r="27">
      <c r="A27" s="29" t="inlineStr">
        <is>
          <t>GCP</t>
        </is>
      </c>
      <c r="B27" s="29" t="inlineStr">
        <is>
          <t>GCP Mumbai</t>
        </is>
      </c>
      <c r="C27" s="29" t="inlineStr">
        <is>
          <t>Egress</t>
        </is>
      </c>
      <c r="D27" s="29" t="inlineStr">
        <is>
          <t>per GB</t>
        </is>
      </c>
      <c r="E27" s="89" t="n">
        <v>0.12</v>
      </c>
      <c r="F27" s="90">
        <f>E27*'Assumptions'!$B$15</f>
        <v/>
      </c>
      <c r="G27" s="29" t="inlineStr">
        <is>
          <t>https://cloud.google.com/vpc/network-pricing</t>
        </is>
      </c>
      <c r="H27" s="91" t="inlineStr">
        <is>
          <t>2026-09-03</t>
        </is>
      </c>
    </row>
    <row r="28">
      <c r="A28" s="29" t="inlineStr">
        <is>
          <t>GCP</t>
        </is>
      </c>
      <c r="B28" s="29" t="inlineStr">
        <is>
          <t>GCP Mumbai</t>
        </is>
      </c>
      <c r="C28" s="29" t="inlineStr">
        <is>
          <t>Build runner</t>
        </is>
      </c>
      <c r="D28" s="29" t="inlineStr">
        <is>
          <t>per build minute</t>
        </is>
      </c>
      <c r="E28" s="89" t="n">
        <v>0.003</v>
      </c>
      <c r="F28" s="90">
        <f>E28*'Assumptions'!$B$15</f>
        <v/>
      </c>
      <c r="G28" s="29" t="inlineStr">
        <is>
          <t>https://cloud.google.com/build/pricing</t>
        </is>
      </c>
      <c r="H28" s="91" t="inlineStr">
        <is>
          <t>2026-09-03</t>
        </is>
      </c>
    </row>
    <row r="29">
      <c r="A29" s="29" t="inlineStr">
        <is>
          <t>GCP</t>
        </is>
      </c>
      <c r="B29" s="29" t="inlineStr">
        <is>
          <t>GCP Mumbai</t>
        </is>
      </c>
      <c r="C29" s="29" t="inlineStr">
        <is>
          <t>Managed database</t>
        </is>
      </c>
      <c r="D29" s="29" t="inlineStr">
        <is>
          <t>per hour</t>
        </is>
      </c>
      <c r="E29" s="89" t="n">
        <v>0.082</v>
      </c>
      <c r="F29" s="90">
        <f>E29*'Assumptions'!$B$15</f>
        <v/>
      </c>
      <c r="G29" s="29" t="inlineStr">
        <is>
          <t>https://cloud.google.com/sql/pricing</t>
        </is>
      </c>
      <c r="H29" s="91" t="inlineStr">
        <is>
          <t>2026-09-03</t>
        </is>
      </c>
    </row>
    <row r="30">
      <c r="A30" s="29" t="inlineStr">
        <is>
          <t>GCP</t>
        </is>
      </c>
      <c r="B30" s="29" t="inlineStr">
        <is>
          <t>GCP Mumbai</t>
        </is>
      </c>
      <c r="C30" s="29" t="inlineStr">
        <is>
          <t>Monitoring</t>
        </is>
      </c>
      <c r="D30" s="29" t="inlineStr">
        <is>
          <t>per GB</t>
        </is>
      </c>
      <c r="E30" s="89" t="n">
        <v>0.5</v>
      </c>
      <c r="F30" s="90">
        <f>E30*'Assumptions'!$B$15</f>
        <v/>
      </c>
      <c r="G30" s="29" t="inlineStr">
        <is>
          <t>https://cloud.google.com/stackdriver/pricing</t>
        </is>
      </c>
      <c r="H30" s="91" t="inlineStr">
        <is>
          <t>2026-09-03</t>
        </is>
      </c>
    </row>
    <row r="31">
      <c r="A31" s="29" t="inlineStr">
        <is>
          <t>AWS</t>
        </is>
      </c>
      <c r="B31" s="29" t="inlineStr">
        <is>
          <t>Mumbai</t>
        </is>
      </c>
      <c r="C31" s="29" t="inlineStr">
        <is>
          <t>VM Light</t>
        </is>
      </c>
      <c r="D31" s="29" t="inlineStr">
        <is>
          <t>per hour</t>
        </is>
      </c>
      <c r="E31" s="89" t="n">
        <v>0.05</v>
      </c>
      <c r="F31" s="90">
        <f>E31*'Assumptions'!$B$15</f>
        <v/>
      </c>
      <c r="G31" s="29" t="inlineStr">
        <is>
          <t>https://aws.amazon.com/ec2/pricing/</t>
        </is>
      </c>
      <c r="H31" s="91" t="inlineStr">
        <is>
          <t>2026-09-06</t>
        </is>
      </c>
    </row>
    <row r="32">
      <c r="A32" s="29" t="inlineStr">
        <is>
          <t>AWS</t>
        </is>
      </c>
      <c r="B32" s="29" t="inlineStr">
        <is>
          <t>Mumbai</t>
        </is>
      </c>
      <c r="C32" s="29" t="inlineStr">
        <is>
          <t>VM Heavy</t>
        </is>
      </c>
      <c r="D32" s="29" t="inlineStr">
        <is>
          <t>per hour</t>
        </is>
      </c>
      <c r="E32" s="89" t="n">
        <v>0.05</v>
      </c>
      <c r="F32" s="90">
        <f>E32*'Assumptions'!$B$15</f>
        <v/>
      </c>
      <c r="G32" s="29" t="inlineStr">
        <is>
          <t>https://aws.amazon.com/ec2/pricing/</t>
        </is>
      </c>
      <c r="H32" s="91" t="inlineStr">
        <is>
          <t>2026-09-06</t>
        </is>
      </c>
    </row>
  </sheetData>
  <mergeCells count="1">
    <mergeCell ref="A1:H1"/>
  </mergeCells>
  <pageMargins left="0.7" right="0.7" top="0.75" bottom="0.75" header="0.3" footer="0.3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8" customWidth="1" min="1" max="1"/>
    <col width="29" customWidth="1" min="2" max="2"/>
    <col width="11" customWidth="1" min="3" max="3"/>
    <col width="15" customWidth="1" min="4" max="4"/>
    <col width="18" customWidth="1" min="5" max="5"/>
    <col width="18" customWidth="1" min="6" max="6"/>
    <col width="18" customWidth="1" min="7" max="7"/>
    <col width="18" customWidth="1" min="8" max="8"/>
    <col width="13" customWidth="1" min="9" max="9"/>
  </cols>
  <sheetData>
    <row r="1" ht="28" customHeight="1">
      <c r="A1" s="9" t="inlineStr">
        <is>
          <t>Training TOC → Infrastructure Mapping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14" t="inlineStr">
        <is>
          <t>Day</t>
        </is>
      </c>
      <c r="B3" s="14" t="inlineStr">
        <is>
          <t>Training topic</t>
        </is>
      </c>
      <c r="C3" s="14" t="inlineStr">
        <is>
          <t>VM qty</t>
        </is>
      </c>
      <c r="D3" s="14" t="inlineStr">
        <is>
          <t>VM profile</t>
        </is>
      </c>
      <c r="E3" s="14" t="inlineStr">
        <is>
          <t>K8s control plane</t>
        </is>
      </c>
      <c r="F3" s="14" t="inlineStr">
        <is>
          <t>K8s worker nodes</t>
        </is>
      </c>
      <c r="G3" s="14" t="inlineStr">
        <is>
          <t>Managed DB</t>
        </is>
      </c>
      <c r="H3" s="14" t="inlineStr">
        <is>
          <t>Object storage</t>
        </is>
      </c>
      <c r="I3" s="14" t="inlineStr">
        <is>
          <t>Active days</t>
        </is>
      </c>
    </row>
    <row r="4">
      <c r="A4" t="n">
        <v>1</v>
      </c>
      <c r="B4" t="inlineStr">
        <is>
          <t>AWS Fundamentals</t>
        </is>
      </c>
      <c r="C4" t="n">
        <v>0</v>
      </c>
      <c r="D4" t="inlineStr">
        <is>
          <t>None</t>
        </is>
      </c>
      <c r="E4" t="n">
        <v>0</v>
      </c>
      <c r="F4" t="n">
        <v>0</v>
      </c>
      <c r="G4" t="n">
        <v>0</v>
      </c>
      <c r="H4" t="n">
        <v>0</v>
      </c>
      <c r="I4" t="n">
        <v>1</v>
      </c>
    </row>
    <row r="5">
      <c r="A5" t="n">
        <v>2</v>
      </c>
      <c r="B5" t="inlineStr">
        <is>
          <t>AWS Fundamentals - Part 2</t>
        </is>
      </c>
      <c r="C5" t="n">
        <v>0</v>
      </c>
      <c r="D5" t="inlineStr">
        <is>
          <t>None</t>
        </is>
      </c>
      <c r="E5" t="n">
        <v>0</v>
      </c>
      <c r="F5" t="n">
        <v>0</v>
      </c>
      <c r="G5" t="n">
        <v>0</v>
      </c>
      <c r="H5" t="n">
        <v>0</v>
      </c>
      <c r="I5" t="n">
        <v>1</v>
      </c>
    </row>
    <row r="6">
      <c r="A6" t="n">
        <v>3</v>
      </c>
      <c r="B6" t="inlineStr">
        <is>
          <t>AWS AI Services Overview</t>
        </is>
      </c>
      <c r="C6" t="n">
        <v>0</v>
      </c>
      <c r="D6" t="inlineStr">
        <is>
          <t>None</t>
        </is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n">
        <v>4</v>
      </c>
      <c r="B7" t="inlineStr">
        <is>
          <t>AWS AI Services Overview - Part 2</t>
        </is>
      </c>
      <c r="C7" t="n">
        <v>0</v>
      </c>
      <c r="D7" t="inlineStr">
        <is>
          <t>None</t>
        </is>
      </c>
      <c r="E7" t="n">
        <v>0</v>
      </c>
      <c r="F7" t="n">
        <v>0</v>
      </c>
      <c r="G7" t="n">
        <v>0</v>
      </c>
      <c r="H7" t="n">
        <v>0</v>
      </c>
      <c r="I7" t="n">
        <v>1</v>
      </c>
    </row>
    <row r="8">
      <c r="A8" t="n">
        <v>5</v>
      </c>
      <c r="B8" t="inlineStr">
        <is>
          <t>Amazon SageMaker Basics</t>
        </is>
      </c>
      <c r="C8" t="n">
        <v>0</v>
      </c>
      <c r="D8" t="inlineStr">
        <is>
          <t>None</t>
        </is>
      </c>
      <c r="E8" t="n">
        <v>0</v>
      </c>
      <c r="F8" t="n">
        <v>0</v>
      </c>
      <c r="G8" t="n">
        <v>0</v>
      </c>
      <c r="H8" t="n">
        <v>0</v>
      </c>
      <c r="I8" t="n">
        <v>1</v>
      </c>
    </row>
    <row r="9">
      <c r="A9" t="n">
        <v>6</v>
      </c>
      <c r="B9" t="inlineStr">
        <is>
          <t>Amazon SageMaker Basics - Part 2</t>
        </is>
      </c>
      <c r="C9" t="n">
        <v>0</v>
      </c>
      <c r="D9" t="inlineStr">
        <is>
          <t>None</t>
        </is>
      </c>
      <c r="E9" t="n">
        <v>0</v>
      </c>
      <c r="F9" t="n">
        <v>0</v>
      </c>
      <c r="G9" t="n">
        <v>0</v>
      </c>
      <c r="H9" t="n">
        <v>0</v>
      </c>
      <c r="I9" t="n">
        <v>1</v>
      </c>
    </row>
    <row r="10">
      <c r="A10" t="n">
        <v>7</v>
      </c>
      <c r="B10" t="inlineStr">
        <is>
          <t>SageMaker Model Development</t>
        </is>
      </c>
      <c r="C10" t="n">
        <v>0</v>
      </c>
      <c r="D10" t="inlineStr">
        <is>
          <t>None</t>
        </is>
      </c>
      <c r="E10" t="n">
        <v>0</v>
      </c>
      <c r="F10" t="n">
        <v>0</v>
      </c>
      <c r="G10" t="n">
        <v>0</v>
      </c>
      <c r="H10" t="n">
        <v>0</v>
      </c>
      <c r="I10" t="n">
        <v>1</v>
      </c>
    </row>
    <row r="11">
      <c r="A11" t="n">
        <v>8</v>
      </c>
      <c r="B11" t="inlineStr">
        <is>
          <t>SageMaker Model Development - Part 2</t>
        </is>
      </c>
      <c r="C11" t="n">
        <v>0</v>
      </c>
      <c r="D11" t="inlineStr">
        <is>
          <t>None</t>
        </is>
      </c>
      <c r="E11" t="n">
        <v>0</v>
      </c>
      <c r="F11" t="n">
        <v>0</v>
      </c>
      <c r="G11" t="n">
        <v>0</v>
      </c>
      <c r="H11" t="n">
        <v>0</v>
      </c>
      <c r="I11" t="n">
        <v>1</v>
      </c>
    </row>
    <row r="12">
      <c r="A12" t="n">
        <v>9</v>
      </c>
      <c r="B12" t="inlineStr">
        <is>
          <t>SageMaker Deployment</t>
        </is>
      </c>
      <c r="C12" t="n">
        <v>0</v>
      </c>
      <c r="D12" t="inlineStr">
        <is>
          <t>None</t>
        </is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t="n">
        <v>10</v>
      </c>
      <c r="B13" t="inlineStr">
        <is>
          <t>SageMaker Deployment - Part 2</t>
        </is>
      </c>
      <c r="C13" t="n">
        <v>0</v>
      </c>
      <c r="D13" t="inlineStr">
        <is>
          <t>None</t>
        </is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t="n">
        <v>11</v>
      </c>
      <c r="B14" t="inlineStr">
        <is>
          <t>Amazon Rekognition</t>
        </is>
      </c>
      <c r="C14" t="n">
        <v>0</v>
      </c>
      <c r="D14" t="inlineStr">
        <is>
          <t>None</t>
        </is>
      </c>
      <c r="E14" t="n">
        <v>0</v>
      </c>
      <c r="F14" t="n">
        <v>0</v>
      </c>
      <c r="G14" t="n">
        <v>0</v>
      </c>
      <c r="H14" t="n">
        <v>0</v>
      </c>
      <c r="I14" t="n">
        <v>1</v>
      </c>
    </row>
    <row r="15">
      <c r="A15" t="n">
        <v>12</v>
      </c>
      <c r="B15" t="inlineStr">
        <is>
          <t>Amazon Rekognition - Part 2</t>
        </is>
      </c>
      <c r="C15" t="n">
        <v>0</v>
      </c>
      <c r="D15" t="inlineStr">
        <is>
          <t>None</t>
        </is>
      </c>
      <c r="E15" t="n">
        <v>0</v>
      </c>
      <c r="F15" t="n">
        <v>0</v>
      </c>
      <c r="G15" t="n">
        <v>0</v>
      </c>
      <c r="H15" t="n">
        <v>0</v>
      </c>
      <c r="I15" t="n">
        <v>1</v>
      </c>
    </row>
    <row r="16">
      <c r="A16" t="n">
        <v>13</v>
      </c>
      <c r="B16" t="inlineStr">
        <is>
          <t>Amazon Textract</t>
        </is>
      </c>
      <c r="C16" t="n">
        <v>0</v>
      </c>
      <c r="D16" t="inlineStr">
        <is>
          <t>None</t>
        </is>
      </c>
      <c r="E16" t="n">
        <v>0</v>
      </c>
      <c r="F16" t="n">
        <v>0</v>
      </c>
      <c r="G16" t="n">
        <v>0</v>
      </c>
      <c r="H16" t="n">
        <v>0</v>
      </c>
      <c r="I16" t="n">
        <v>1</v>
      </c>
    </row>
    <row r="17">
      <c r="A17" t="n">
        <v>14</v>
      </c>
      <c r="B17" t="inlineStr">
        <is>
          <t>Amazon Textract - Part 2</t>
        </is>
      </c>
      <c r="C17" t="n">
        <v>0</v>
      </c>
      <c r="D17" t="inlineStr">
        <is>
          <t>None</t>
        </is>
      </c>
      <c r="E17" t="n">
        <v>0</v>
      </c>
      <c r="F17" t="n">
        <v>0</v>
      </c>
      <c r="G17" t="n">
        <v>0</v>
      </c>
      <c r="H17" t="n">
        <v>0</v>
      </c>
      <c r="I17" t="n">
        <v>1</v>
      </c>
    </row>
    <row r="18">
      <c r="A18" t="n">
        <v>15</v>
      </c>
      <c r="B18" t="inlineStr">
        <is>
          <t>Amazon Lex</t>
        </is>
      </c>
      <c r="C18" t="n">
        <v>0</v>
      </c>
      <c r="D18" t="inlineStr">
        <is>
          <t>None</t>
        </is>
      </c>
      <c r="E18" t="n">
        <v>0</v>
      </c>
      <c r="F18" t="n">
        <v>0</v>
      </c>
      <c r="G18" t="n">
        <v>0</v>
      </c>
      <c r="H18" t="n">
        <v>0</v>
      </c>
      <c r="I18" t="n">
        <v>1</v>
      </c>
    </row>
    <row r="19">
      <c r="A19" t="n">
        <v>16</v>
      </c>
      <c r="B19" t="inlineStr">
        <is>
          <t>Amazon Lex - Part 2</t>
        </is>
      </c>
      <c r="C19" t="n">
        <v>0</v>
      </c>
      <c r="D19" t="inlineStr">
        <is>
          <t>None</t>
        </is>
      </c>
      <c r="E19" t="n">
        <v>0</v>
      </c>
      <c r="F19" t="n">
        <v>0</v>
      </c>
      <c r="G19" t="n">
        <v>0</v>
      </c>
      <c r="H19" t="n">
        <v>0</v>
      </c>
      <c r="I19" t="n">
        <v>1</v>
      </c>
    </row>
    <row r="20">
      <c r="A20" t="n">
        <v>17</v>
      </c>
      <c r="B20" t="inlineStr">
        <is>
          <t>Amazon Polly</t>
        </is>
      </c>
      <c r="C20" t="n">
        <v>0</v>
      </c>
      <c r="D20" t="inlineStr">
        <is>
          <t>None</t>
        </is>
      </c>
      <c r="E20" t="n">
        <v>0</v>
      </c>
      <c r="F20" t="n">
        <v>0</v>
      </c>
      <c r="G20" t="n">
        <v>0</v>
      </c>
      <c r="H20" t="n">
        <v>0</v>
      </c>
      <c r="I20" t="n">
        <v>1</v>
      </c>
    </row>
    <row r="21">
      <c r="A21" t="n">
        <v>18</v>
      </c>
      <c r="B21" t="inlineStr">
        <is>
          <t>Amazon Polly - Part 2</t>
        </is>
      </c>
      <c r="C21" t="n">
        <v>0</v>
      </c>
      <c r="D21" t="inlineStr">
        <is>
          <t>None</t>
        </is>
      </c>
      <c r="E21" t="n">
        <v>0</v>
      </c>
      <c r="F21" t="n">
        <v>0</v>
      </c>
      <c r="G21" t="n">
        <v>0</v>
      </c>
      <c r="H21" t="n">
        <v>0</v>
      </c>
      <c r="I21" t="n">
        <v>1</v>
      </c>
    </row>
    <row r="22">
      <c r="A22" t="n">
        <v>19</v>
      </c>
      <c r="B22" t="inlineStr">
        <is>
          <t>Amazon Comprehend</t>
        </is>
      </c>
      <c r="C22" t="n">
        <v>0</v>
      </c>
      <c r="D22" t="inlineStr">
        <is>
          <t>None</t>
        </is>
      </c>
      <c r="E22" t="n">
        <v>0</v>
      </c>
      <c r="F22" t="n">
        <v>0</v>
      </c>
      <c r="G22" t="n">
        <v>0</v>
      </c>
      <c r="H22" t="n">
        <v>0</v>
      </c>
      <c r="I22" t="n">
        <v>1</v>
      </c>
    </row>
    <row r="23">
      <c r="A23" t="n">
        <v>20</v>
      </c>
      <c r="B23" t="inlineStr">
        <is>
          <t>Amazon Comprehend - Part 2</t>
        </is>
      </c>
      <c r="C23" t="n">
        <v>0</v>
      </c>
      <c r="D23" t="inlineStr">
        <is>
          <t>None</t>
        </is>
      </c>
      <c r="E23" t="n">
        <v>0</v>
      </c>
      <c r="F23" t="n">
        <v>0</v>
      </c>
      <c r="G23" t="n">
        <v>0</v>
      </c>
      <c r="H23" t="n">
        <v>0</v>
      </c>
      <c r="I23" t="n">
        <v>1</v>
      </c>
    </row>
    <row r="24">
      <c r="A24" t="n">
        <v>21</v>
      </c>
      <c r="B24" t="inlineStr">
        <is>
          <t>Amazon Forecast</t>
        </is>
      </c>
      <c r="C24" t="n">
        <v>0</v>
      </c>
      <c r="D24" t="inlineStr">
        <is>
          <t>None</t>
        </is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t="n">
        <v>22</v>
      </c>
      <c r="B25" t="inlineStr">
        <is>
          <t>Amazon Forecast - Part 2</t>
        </is>
      </c>
      <c r="C25" t="n">
        <v>0</v>
      </c>
      <c r="D25" t="inlineStr">
        <is>
          <t>None</t>
        </is>
      </c>
      <c r="E25" t="n">
        <v>0</v>
      </c>
      <c r="F25" t="n">
        <v>0</v>
      </c>
      <c r="G25" t="n">
        <v>0</v>
      </c>
      <c r="H25" t="n">
        <v>0</v>
      </c>
      <c r="I25" t="n">
        <v>1</v>
      </c>
    </row>
    <row r="26">
      <c r="A26" t="n">
        <v>23</v>
      </c>
      <c r="B26" t="inlineStr">
        <is>
          <t>Amazon Lookout</t>
        </is>
      </c>
      <c r="C26" t="n">
        <v>0</v>
      </c>
      <c r="D26" t="inlineStr">
        <is>
          <t>None</t>
        </is>
      </c>
      <c r="E26" t="n">
        <v>0</v>
      </c>
      <c r="F26" t="n">
        <v>0</v>
      </c>
      <c r="G26" t="n">
        <v>0</v>
      </c>
      <c r="H26" t="n">
        <v>0</v>
      </c>
      <c r="I26" t="n">
        <v>1</v>
      </c>
    </row>
    <row r="27">
      <c r="A27" t="n">
        <v>24</v>
      </c>
      <c r="B27" t="inlineStr">
        <is>
          <t>Amazon Lookout - Part 2</t>
        </is>
      </c>
      <c r="C27" t="n">
        <v>0</v>
      </c>
      <c r="D27" t="inlineStr">
        <is>
          <t>None</t>
        </is>
      </c>
      <c r="E27" t="n">
        <v>0</v>
      </c>
      <c r="F27" t="n">
        <v>0</v>
      </c>
      <c r="G27" t="n">
        <v>0</v>
      </c>
      <c r="H27" t="n">
        <v>0</v>
      </c>
      <c r="I27" t="n">
        <v>1</v>
      </c>
    </row>
    <row r="28">
      <c r="A28" t="n">
        <v>25</v>
      </c>
      <c r="B28" t="inlineStr">
        <is>
          <t>Data Preparation</t>
        </is>
      </c>
      <c r="C28" t="n">
        <v>0</v>
      </c>
      <c r="D28" t="inlineStr">
        <is>
          <t>Heavy</t>
        </is>
      </c>
      <c r="E28" t="n">
        <v>0</v>
      </c>
      <c r="F28" t="n">
        <v>0</v>
      </c>
      <c r="G28" t="n">
        <v>0</v>
      </c>
      <c r="H28" t="n">
        <v>0</v>
      </c>
      <c r="I28" t="n">
        <v>1</v>
      </c>
    </row>
    <row r="29">
      <c r="A29" t="n">
        <v>26</v>
      </c>
      <c r="B29" t="inlineStr">
        <is>
          <t>Data Preparation - Part 2</t>
        </is>
      </c>
      <c r="C29" t="n">
        <v>0</v>
      </c>
      <c r="D29" t="inlineStr">
        <is>
          <t>Heavy</t>
        </is>
      </c>
      <c r="E29" t="n">
        <v>0</v>
      </c>
      <c r="F29" t="n">
        <v>0</v>
      </c>
      <c r="G29" t="n">
        <v>0</v>
      </c>
      <c r="H29" t="n">
        <v>0</v>
      </c>
      <c r="I29" t="n">
        <v>1</v>
      </c>
    </row>
    <row r="30">
      <c r="A30" t="n">
        <v>27</v>
      </c>
      <c r="B30" t="inlineStr">
        <is>
          <t>MLOps on AWS</t>
        </is>
      </c>
      <c r="C30" t="n">
        <v>0</v>
      </c>
      <c r="D30" t="inlineStr">
        <is>
          <t>Heavy</t>
        </is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n">
        <v>28</v>
      </c>
      <c r="B31" t="inlineStr">
        <is>
          <t>MLOps on AWS - Part 2</t>
        </is>
      </c>
      <c r="C31" t="n">
        <v>0</v>
      </c>
      <c r="D31" t="inlineStr">
        <is>
          <t>Heavy</t>
        </is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t="n">
        <v>29</v>
      </c>
      <c r="B32" t="inlineStr">
        <is>
          <t>Production Deployment</t>
        </is>
      </c>
      <c r="C32" t="n">
        <v>0</v>
      </c>
      <c r="D32" t="inlineStr">
        <is>
          <t>None</t>
        </is>
      </c>
      <c r="E32" t="n">
        <v>0</v>
      </c>
      <c r="F32" t="n">
        <v>0</v>
      </c>
      <c r="G32" t="n">
        <v>0</v>
      </c>
      <c r="H32" t="n">
        <v>0</v>
      </c>
      <c r="I32" t="n">
        <v>1</v>
      </c>
    </row>
    <row r="33">
      <c r="A33" t="n">
        <v>30</v>
      </c>
      <c r="B33" t="inlineStr">
        <is>
          <t>Capstone Project - Part 2 + Certification Roadmap</t>
        </is>
      </c>
      <c r="C33" t="n">
        <v>0</v>
      </c>
      <c r="D33" t="inlineStr">
        <is>
          <t>None</t>
        </is>
      </c>
      <c r="E33" t="n">
        <v>0</v>
      </c>
      <c r="F33" t="n">
        <v>0</v>
      </c>
      <c r="G33" t="n">
        <v>0</v>
      </c>
      <c r="H33" t="n">
        <v>0</v>
      </c>
      <c r="I33" t="n">
        <v>1</v>
      </c>
    </row>
    <row r="35">
      <c r="A35" s="57" t="inlineStr">
        <is>
          <t>Mapping note</t>
        </is>
      </c>
      <c r="B35" s="1" t="n"/>
      <c r="C35" s="1" t="n"/>
      <c r="D35" s="1" t="n"/>
      <c r="E35" s="1" t="n"/>
      <c r="F35" s="1" t="n"/>
      <c r="G35" s="1" t="n"/>
      <c r="H35" s="1" t="n"/>
      <c r="I35" s="1" t="n"/>
    </row>
    <row r="36">
      <c r="A36" s="34" t="inlineStr">
        <is>
          <t>Use this sheet to map every training day to the infrastructure it needs. Resource Cost Breakdown calculates each resource with its own billing unit; do not force a single generic cost formula across VM, storage, egress, build, or Kubernetes. VM Light and Heavy rows are billed separately from the Rate Card; active days prevent multi-day labs from being under-counted.</t>
        </is>
      </c>
      <c r="B36" s="1" t="n"/>
      <c r="C36" s="1" t="n"/>
      <c r="D36" s="1" t="n"/>
      <c r="E36" s="1" t="n"/>
      <c r="F36" s="1" t="n"/>
      <c r="G36" s="1" t="n"/>
      <c r="H36" s="1" t="n"/>
      <c r="I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</row>
  </sheetData>
  <mergeCells count="3">
    <mergeCell ref="A1:H1"/>
    <mergeCell ref="A35:I35"/>
    <mergeCell ref="A36:I37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20" customWidth="1" min="3" max="3"/>
    <col width="15" customWidth="1" min="4" max="4"/>
    <col width="17" customWidth="1" min="5" max="5"/>
    <col width="14" customWidth="1" min="6" max="6"/>
    <col width="34" customWidth="1" min="7" max="7"/>
    <col width="16" customWidth="1" min="8" max="8"/>
    <col width="16" customWidth="1" min="9" max="9"/>
    <col width="16" customWidth="1" min="10" max="10"/>
  </cols>
  <sheetData>
    <row r="1" ht="28" customHeight="1">
      <c r="A1" s="33" t="inlineStr">
        <is>
          <t>Resource Cost Breakdown – Billing-Unit Based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>
      <c r="A2" s="29" t="n"/>
      <c r="B2" s="29" t="n"/>
      <c r="C2" s="29" t="n"/>
      <c r="D2" s="29" t="n"/>
      <c r="E2" s="29" t="n"/>
      <c r="F2" s="29" t="n"/>
      <c r="G2" s="29" t="n"/>
      <c r="H2" s="29" t="n"/>
      <c r="I2" s="29" t="n"/>
      <c r="J2" s="29" t="n"/>
    </row>
    <row r="3">
      <c r="A3" s="14" t="inlineStr">
        <is>
          <t>Resource</t>
        </is>
      </c>
      <c r="B3" s="14" t="inlineStr">
        <is>
          <t>Quantity</t>
        </is>
      </c>
      <c r="C3" s="14" t="inlineStr">
        <is>
          <t>Billing unit</t>
        </is>
      </c>
      <c r="D3" s="14" t="inlineStr">
        <is>
          <t>Rate (INR)</t>
        </is>
      </c>
      <c r="E3" s="14" t="inlineStr">
        <is>
          <t>Usage driver</t>
        </is>
      </c>
      <c r="F3" s="14" t="inlineStr">
        <is>
          <t>Days / Hours</t>
        </is>
      </c>
      <c r="G3" s="14" t="inlineStr">
        <is>
          <t>Formula basis</t>
        </is>
      </c>
      <c r="H3" s="14" t="inlineStr">
        <is>
          <t>Total (INR)</t>
        </is>
      </c>
      <c r="I3" s="14" t="inlineStr">
        <is>
          <t>Provider</t>
        </is>
      </c>
      <c r="J3" s="14" t="inlineStr">
        <is>
          <t>Region</t>
        </is>
      </c>
    </row>
    <row r="4">
      <c r="A4" s="29" t="inlineStr">
        <is>
          <t>VM (profiled)</t>
        </is>
      </c>
      <c r="B4" s="29">
        <f>SUMPRODUCT('TOC Mapping'!$C$4:$C$33,'TOC Mapping'!$I$4:$I$33)</f>
        <v/>
      </c>
      <c r="C4" s="29" t="inlineStr">
        <is>
          <t>per hour</t>
        </is>
      </c>
      <c r="D4" s="90">
        <f>SUMIFS('Rate Card'!$F$4:$F$30,'Rate Card'!$A$4:$A$30,I4,'Rate Card'!$B$4:$B$30,J4,'Rate Card'!$C$4:$C$30,A4)</f>
        <v/>
      </c>
      <c r="E4" s="29" t="inlineStr">
        <is>
          <t>runtime hours</t>
        </is>
      </c>
      <c r="F4" s="70">
        <f>'Assumptions'!$B$7</f>
        <v/>
      </c>
      <c r="G4" s="29" t="inlineStr">
        <is>
          <t>Light/Heavy VM-days × respective rate × Hours/day</t>
        </is>
      </c>
      <c r="H4" s="92">
        <f>(SUMPRODUCT('TOC Mapping'!$C$4:$C$33,'TOC Mapping'!$I$4:$I$33,--('TOC Mapping'!$D$4:$D$33="Light"))*'Rate Card'!$F$31+SUMPRODUCT('TOC Mapping'!$C$4:$C$33,'TOC Mapping'!$I$4:$I$33,--('TOC Mapping'!$D$4:$D$33="Heavy"))*'Rate Card'!$F$32)*'Assumptions'!$B$7</f>
        <v/>
      </c>
      <c r="I4" s="70">
        <f>Assumptions!$B$5</f>
        <v/>
      </c>
      <c r="J4" s="70">
        <f>Assumptions!$B$6</f>
        <v/>
      </c>
    </row>
    <row r="5">
      <c r="A5" s="29" t="inlineStr">
        <is>
          <t>Kubernetes control plane</t>
        </is>
      </c>
      <c r="B5" s="29">
        <f>SUMPRODUCT('TOC Mapping'!$E$4:$E$33,'TOC Mapping'!$I$4:$I$33)</f>
        <v/>
      </c>
      <c r="C5" s="29" t="inlineStr">
        <is>
          <t>per cluster-hour</t>
        </is>
      </c>
      <c r="D5" s="90">
        <f>SUMIFS('Rate Card'!$F$4:$F$30,'Rate Card'!$A$4:$A$30,I5,'Rate Card'!$B$4:$B$30,J5,'Rate Card'!$C$4:$C$30,A5)</f>
        <v/>
      </c>
      <c r="E5" s="29" t="inlineStr">
        <is>
          <t>runtime hours</t>
        </is>
      </c>
      <c r="F5" s="70">
        <f>'Assumptions'!$B$7</f>
        <v/>
      </c>
      <c r="G5" s="29" t="inlineStr">
        <is>
          <t>Resource-days × Rate × Hours/day</t>
        </is>
      </c>
      <c r="H5" s="92">
        <f>B5*D5*F5</f>
        <v/>
      </c>
      <c r="I5" s="70">
        <f>Assumptions!$B$5</f>
        <v/>
      </c>
      <c r="J5" s="70">
        <f>Assumptions!$B$6</f>
        <v/>
      </c>
    </row>
    <row r="6">
      <c r="A6" s="29" t="inlineStr">
        <is>
          <t>Kubernetes worker</t>
        </is>
      </c>
      <c r="B6" s="70">
        <f>SUMPRODUCT('TOC Mapping'!$F$4:$F$33,'TOC Mapping'!$I$4:$I$33)</f>
        <v/>
      </c>
      <c r="C6" s="29" t="inlineStr">
        <is>
          <t>per VM-hour</t>
        </is>
      </c>
      <c r="D6" s="90">
        <f>SUMIFS('Rate Card'!$F$4:$F$30,'Rate Card'!$A$4:$A$30,I6,'Rate Card'!$B$4:$B$30,J6,'Rate Card'!$C$4:$C$30,A6)</f>
        <v/>
      </c>
      <c r="E6" s="29" t="inlineStr">
        <is>
          <t>runtime hours</t>
        </is>
      </c>
      <c r="F6" s="70">
        <f>'Assumptions'!$B$7</f>
        <v/>
      </c>
      <c r="G6" s="29" t="inlineStr">
        <is>
          <t>Resource-days × Rate × Hours/day</t>
        </is>
      </c>
      <c r="H6" s="92">
        <f>B6*D6*F6</f>
        <v/>
      </c>
      <c r="I6" s="70">
        <f>Assumptions!$B$5</f>
        <v/>
      </c>
      <c r="J6" s="70">
        <f>Assumptions!$B$6</f>
        <v/>
      </c>
    </row>
    <row r="7">
      <c r="A7" s="29" t="inlineStr">
        <is>
          <t>Disk</t>
        </is>
      </c>
      <c r="B7" s="29">
        <f>SUMPRODUCT(('TOC Mapping'!$C$4:$C$33+'TOC Mapping'!$F$4:$F$33),'TOC Mapping'!$I$4:$I$33)*'Assumptions'!$B$20</f>
        <v/>
      </c>
      <c r="C7" s="29" t="inlineStr">
        <is>
          <t>GB-month</t>
        </is>
      </c>
      <c r="D7" s="90">
        <f>SUMIFS('Rate Card'!$F$4:$F$30,'Rate Card'!$A$4:$A$30,I7,'Rate Card'!$B$4:$B$30,J7,'Rate Card'!$C$4:$C$30,A7)</f>
        <v/>
      </c>
      <c r="E7" s="29" t="inlineStr">
        <is>
          <t>prorated days</t>
        </is>
      </c>
      <c r="F7" s="70" t="n">
        <v>1</v>
      </c>
      <c r="G7" s="29" t="inlineStr">
        <is>
          <t>GB-node-days × monthly rate / 30</t>
        </is>
      </c>
      <c r="H7" s="92">
        <f>B7*D7/30</f>
        <v/>
      </c>
      <c r="I7" s="70">
        <f>Assumptions!$B$5</f>
        <v/>
      </c>
      <c r="J7" s="70">
        <f>Assumptions!$B$6</f>
        <v/>
      </c>
    </row>
    <row r="8">
      <c r="A8" s="29" t="inlineStr">
        <is>
          <t>Storage</t>
        </is>
      </c>
      <c r="B8" s="70">
        <f>SUMPRODUCT('TOC Mapping'!$H$4:$H$33,'TOC Mapping'!$I$4:$I$33)</f>
        <v/>
      </c>
      <c r="C8" s="29" t="inlineStr">
        <is>
          <t>GB-month</t>
        </is>
      </c>
      <c r="D8" s="90">
        <f>SUMIFS('Rate Card'!$F$4:$F$30,'Rate Card'!$A$4:$A$30,I8,'Rate Card'!$B$4:$B$30,J8,'Rate Card'!$C$4:$C$30,A8)</f>
        <v/>
      </c>
      <c r="E8" s="29" t="inlineStr">
        <is>
          <t>prorated days</t>
        </is>
      </c>
      <c r="F8" s="70" t="n">
        <v>1</v>
      </c>
      <c r="G8" s="29" t="inlineStr">
        <is>
          <t>GB-days × monthly rate / 30</t>
        </is>
      </c>
      <c r="H8" s="92">
        <f>B8*D8/30</f>
        <v/>
      </c>
      <c r="I8" s="70">
        <f>Assumptions!$B$5</f>
        <v/>
      </c>
      <c r="J8" s="70">
        <f>Assumptions!$B$6</f>
        <v/>
      </c>
    </row>
    <row r="9">
      <c r="A9" s="29" t="inlineStr">
        <is>
          <t>Egress</t>
        </is>
      </c>
      <c r="B9" s="70">
        <f>Assumptions!B11</f>
        <v/>
      </c>
      <c r="C9" s="29" t="inlineStr">
        <is>
          <t>per GB</t>
        </is>
      </c>
      <c r="D9" s="90">
        <f>SUMIFS('Rate Card'!$F$4:$F$30,'Rate Card'!$A$4:$A$30,I9,'Rate Card'!$B$4:$B$30,J9,'Rate Card'!$C$4:$C$30,A9)</f>
        <v/>
      </c>
      <c r="E9" s="29" t="inlineStr">
        <is>
          <t>one-time</t>
        </is>
      </c>
      <c r="F9" s="29" t="n">
        <v>1</v>
      </c>
      <c r="G9" s="29" t="inlineStr">
        <is>
          <t>GB × Rate</t>
        </is>
      </c>
      <c r="H9" s="92">
        <f>B9*D9</f>
        <v/>
      </c>
      <c r="I9" s="70">
        <f>Assumptions!$B$5</f>
        <v/>
      </c>
      <c r="J9" s="70">
        <f>Assumptions!$B$6</f>
        <v/>
      </c>
    </row>
    <row r="10">
      <c r="A10" s="29" t="inlineStr">
        <is>
          <t>Build runner</t>
        </is>
      </c>
      <c r="B10" s="70">
        <f>Assumptions!B12</f>
        <v/>
      </c>
      <c r="C10" s="29" t="inlineStr">
        <is>
          <t>per build minute</t>
        </is>
      </c>
      <c r="D10" s="90">
        <f>SUMIFS('Rate Card'!$F$4:$F$30,'Rate Card'!$A$4:$A$30,I10,'Rate Card'!$B$4:$B$30,J10,'Rate Card'!$C$4:$C$30,A10)</f>
        <v/>
      </c>
      <c r="E10" s="29" t="inlineStr">
        <is>
          <t>one-time</t>
        </is>
      </c>
      <c r="F10" s="29" t="n">
        <v>1</v>
      </c>
      <c r="G10" s="29" t="inlineStr">
        <is>
          <t>Minutes × Rate</t>
        </is>
      </c>
      <c r="H10" s="92">
        <f>B10*D10</f>
        <v/>
      </c>
      <c r="I10" s="70">
        <f>Assumptions!$B$5</f>
        <v/>
      </c>
      <c r="J10" s="70">
        <f>Assumptions!$B$6</f>
        <v/>
      </c>
    </row>
    <row r="11">
      <c r="A11" s="29" t="inlineStr">
        <is>
          <t>Managed database</t>
        </is>
      </c>
      <c r="B11" s="29">
        <f>SUMPRODUCT('TOC Mapping'!$G$4:$G$33,'TOC Mapping'!$I$4:$I$33)</f>
        <v/>
      </c>
      <c r="C11" s="29" t="inlineStr">
        <is>
          <t>per hour</t>
        </is>
      </c>
      <c r="D11" s="90">
        <f>SUMIFS('Rate Card'!$F$4:$F$30,'Rate Card'!$A$4:$A$30,I11,'Rate Card'!$B$4:$B$30,J11,'Rate Card'!$C$4:$C$30,A11)</f>
        <v/>
      </c>
      <c r="E11" s="29" t="inlineStr">
        <is>
          <t>runtime hours</t>
        </is>
      </c>
      <c r="F11" s="70">
        <f>'Assumptions'!$B$7</f>
        <v/>
      </c>
      <c r="G11" s="29" t="inlineStr">
        <is>
          <t>Resource-days × Rate × Hours/day</t>
        </is>
      </c>
      <c r="H11" s="92">
        <f>B11*D11*F11</f>
        <v/>
      </c>
      <c r="I11" s="70">
        <f>Assumptions!$B$5</f>
        <v/>
      </c>
      <c r="J11" s="70">
        <f>Assumptions!$B$6</f>
        <v/>
      </c>
    </row>
    <row r="12">
      <c r="A12" s="29" t="inlineStr">
        <is>
          <t>Monitoring</t>
        </is>
      </c>
      <c r="B12" s="70">
        <f>Assumptions!B13</f>
        <v/>
      </c>
      <c r="C12" s="29" t="inlineStr">
        <is>
          <t>per GB</t>
        </is>
      </c>
      <c r="D12" s="90">
        <f>SUMIFS('Rate Card'!$F$4:$F$30,'Rate Card'!$A$4:$A$30,I12,'Rate Card'!$B$4:$B$30,J12,'Rate Card'!$C$4:$C$30,A12)</f>
        <v/>
      </c>
      <c r="E12" s="29" t="inlineStr">
        <is>
          <t>one-time</t>
        </is>
      </c>
      <c r="F12" s="29" t="n">
        <v>1</v>
      </c>
      <c r="G12" s="29" t="inlineStr">
        <is>
          <t>GB × Rate</t>
        </is>
      </c>
      <c r="H12" s="92">
        <f>B12*D12</f>
        <v/>
      </c>
      <c r="I12" s="70">
        <f>Assumptions!$B$5</f>
        <v/>
      </c>
      <c r="J12" s="70">
        <f>Assumptions!$B$6</f>
        <v/>
      </c>
    </row>
    <row r="13">
      <c r="A13" s="29" t="n"/>
      <c r="B13" s="29" t="n"/>
      <c r="C13" s="29" t="n"/>
      <c r="D13" s="29" t="n"/>
      <c r="E13" s="29" t="n"/>
      <c r="F13" s="29" t="n"/>
      <c r="G13" s="29" t="n"/>
      <c r="H13" s="93" t="n"/>
      <c r="I13" s="29" t="n"/>
      <c r="J13" s="29" t="n"/>
    </row>
    <row r="14">
      <c r="A14" s="78" t="inlineStr">
        <is>
          <t>Total Infrastructure Cost</t>
        </is>
      </c>
      <c r="B14" s="1" t="n"/>
      <c r="C14" s="1" t="n"/>
      <c r="D14" s="1" t="n"/>
      <c r="E14" s="1" t="n"/>
      <c r="F14" s="1" t="n"/>
      <c r="G14" s="1" t="n"/>
      <c r="H14" s="94">
        <f>SUM(H4:H12)</f>
        <v/>
      </c>
      <c r="I14" s="29" t="n"/>
      <c r="J14" s="29" t="n"/>
    </row>
  </sheetData>
  <mergeCells count="2">
    <mergeCell ref="A1:J1"/>
    <mergeCell ref="A14:G14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31" customWidth="1" min="1" max="1"/>
    <col width="18" customWidth="1" min="2" max="2"/>
    <col width="18" customWidth="1" min="3" max="3"/>
    <col width="18" customWidth="1" min="4" max="4"/>
  </cols>
  <sheetData>
    <row r="1" ht="28" customHeight="1">
      <c r="A1" s="33" t="inlineStr">
        <is>
          <t>Client Lab Cost Estimate</t>
        </is>
      </c>
      <c r="B1" s="1" t="n"/>
      <c r="C1" s="1" t="n"/>
      <c r="D1" s="1" t="n"/>
    </row>
    <row r="2">
      <c r="A2" s="29" t="n"/>
      <c r="B2" s="29" t="n"/>
      <c r="C2" s="29" t="n"/>
      <c r="D2" s="29" t="n"/>
    </row>
    <row r="3">
      <c r="A3" s="78" t="inlineStr">
        <is>
          <t>CLIENT QUOTE SUMMARY</t>
        </is>
      </c>
      <c r="B3" s="1" t="n"/>
      <c r="C3" s="1" t="n"/>
      <c r="D3" s="1" t="n"/>
    </row>
    <row r="4">
      <c r="A4" s="30" t="inlineStr">
        <is>
          <t>Training title</t>
        </is>
      </c>
      <c r="B4" s="75">
        <f>Assumptions!B4</f>
        <v/>
      </c>
      <c r="C4" s="1" t="n"/>
      <c r="D4" s="1" t="n"/>
    </row>
    <row r="5">
      <c r="A5" s="30" t="inlineStr">
        <is>
          <t>Cloud provider and region</t>
        </is>
      </c>
      <c r="B5" s="75">
        <f>Assumptions!B5&amp;" – "&amp;Assumptions!B6</f>
        <v/>
      </c>
      <c r="C5" s="1" t="n"/>
      <c r="D5" s="1" t="n"/>
    </row>
    <row r="6">
      <c r="A6" s="30" t="inlineStr">
        <is>
          <t>Number of participants</t>
        </is>
      </c>
      <c r="B6" s="75">
        <f>Assumptions!B9</f>
        <v/>
      </c>
      <c r="C6" s="1" t="n"/>
      <c r="D6" s="1" t="n"/>
    </row>
    <row r="7">
      <c r="A7" s="30" t="inlineStr">
        <is>
          <t>Training days and hours/day</t>
        </is>
      </c>
      <c r="B7" s="75">
        <f>Assumptions!B8&amp;" days × "&amp;Assumptions!B7&amp;" hours/day"</f>
        <v/>
      </c>
      <c r="C7" s="1" t="n"/>
      <c r="D7" s="1" t="n"/>
    </row>
    <row r="8">
      <c r="A8" s="30" t="inlineStr">
        <is>
          <t>Infrastructure cost</t>
        </is>
      </c>
      <c r="B8" s="95">
        <f>'Resource Cost Breakdown'!H14</f>
        <v/>
      </c>
      <c r="C8" s="1" t="n"/>
      <c r="D8" s="1" t="n"/>
    </row>
    <row r="9">
      <c r="A9" s="30" t="inlineStr">
        <is>
          <t>Support cost</t>
        </is>
      </c>
      <c r="B9" s="95">
        <f>'Assumptions'!B21*'Assumptions'!B9*'Assumptions'!B8</f>
        <v/>
      </c>
      <c r="C9" s="1" t="n"/>
      <c r="D9" s="1" t="n"/>
    </row>
    <row r="10">
      <c r="A10" s="30" t="inlineStr">
        <is>
          <t>Contingency</t>
        </is>
      </c>
      <c r="B10" s="95">
        <f>(B8+B9)*Assumptions!B16</f>
        <v/>
      </c>
      <c r="C10" s="1" t="n"/>
      <c r="D10" s="1" t="n"/>
    </row>
    <row r="11">
      <c r="A11" s="30" t="inlineStr">
        <is>
          <t>Tax / GST</t>
        </is>
      </c>
      <c r="B11" s="95">
        <f>(B8+B9+B10)*Assumptions!B17</f>
        <v/>
      </c>
      <c r="C11" s="1" t="n"/>
      <c r="D11" s="1" t="n"/>
    </row>
    <row r="12">
      <c r="A12" s="86" t="inlineStr">
        <is>
          <t>Final estimated cost</t>
        </is>
      </c>
      <c r="B12" s="96">
        <f>B8+B9+B10+B11</f>
        <v/>
      </c>
      <c r="C12" s="1" t="n"/>
      <c r="D12" s="1" t="n"/>
    </row>
    <row r="13">
      <c r="A13" s="86" t="inlineStr">
        <is>
          <t>Cost per participant</t>
        </is>
      </c>
      <c r="B13" s="96">
        <f>B12/Assumptions!B9</f>
        <v/>
      </c>
      <c r="C13" s="1" t="n"/>
      <c r="D13" s="1" t="n"/>
    </row>
    <row r="14">
      <c r="A14" s="30" t="inlineStr">
        <is>
          <t>Quote validity</t>
        </is>
      </c>
      <c r="B14" s="75">
        <f>Assumptions!B19&amp;" days from quote date"</f>
        <v/>
      </c>
      <c r="C14" s="1" t="n"/>
      <c r="D14" s="1" t="n"/>
    </row>
    <row r="15">
      <c r="A15" s="29" t="n"/>
      <c r="B15" s="29" t="n"/>
      <c r="C15" s="29" t="n"/>
      <c r="D15" s="29" t="n"/>
    </row>
    <row r="16">
      <c r="A16" s="78" t="inlineStr">
        <is>
          <t>Estimate notes</t>
        </is>
      </c>
      <c r="B16" s="1" t="n"/>
      <c r="C16" s="1" t="n"/>
      <c r="D16" s="1" t="n"/>
    </row>
    <row r="17">
      <c r="A17" s="34" t="inlineStr">
        <is>
          <t>Infrastructure is calculated from per-day resource counts, active days, VM profile rates, and storage/node sizing. India GST defaults to 18%. VM profile rate rows marked as template fallback must be replaced with a current provider SKU rate and URL before client approval.</t>
        </is>
      </c>
      <c r="B17" s="1" t="n"/>
      <c r="C17" s="1" t="n"/>
      <c r="D17" s="1" t="n"/>
    </row>
    <row r="18">
      <c r="A18" s="1" t="n"/>
      <c r="D18" s="1" t="n"/>
    </row>
    <row r="19">
      <c r="A19" s="1" t="n"/>
      <c r="B19" s="1" t="n"/>
      <c r="C19" s="1" t="n"/>
      <c r="D19" s="1" t="n"/>
    </row>
  </sheetData>
  <mergeCells count="15">
    <mergeCell ref="B10:D10"/>
    <mergeCell ref="A1:D1"/>
    <mergeCell ref="B11:D11"/>
    <mergeCell ref="B5:D5"/>
    <mergeCell ref="B14:D14"/>
    <mergeCell ref="A17:D19"/>
    <mergeCell ref="B8:D8"/>
    <mergeCell ref="A3:D3"/>
    <mergeCell ref="B4:D4"/>
    <mergeCell ref="B9:D9"/>
    <mergeCell ref="B13:D13"/>
    <mergeCell ref="A16:D16"/>
    <mergeCell ref="B12:D12"/>
    <mergeCell ref="B7:D7"/>
    <mergeCell ref="B6:D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2026-09-06T16:00:52Z</dcterms:created>
  <dcterms:modified xmlns:dcterms="http://purl.org/dc/terms/" xmlns:xsi="http://www.w3.org/2001/XMLSchema-instance" xsi:type="dcterms:W3CDTF">2026-09-06T16:00:52Z</dcterms:modified>
</cp:coreProperties>
</file>