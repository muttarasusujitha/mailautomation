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ate Card" sheetId="2" state="visible" r:id="rId4"/>
    <sheet name="TOC Mapping" sheetId="3" state="visible" r:id="rId5"/>
    <sheet name="Resource Cost Breakdown" sheetId="4" state="visible" r:id="rId6"/>
    <sheet name="Client Estimate" sheetId="5" state="visible" r:id="rId7"/>
    <sheet name="Live Price Check" sheetId="6" state="visible" r:id="rId8"/>
  </sheets>
  <definedNames>
    <definedName function="false" hidden="true" localSheetId="5" name="_xlnm._FilterDatabase" vbProcedure="false">'Live Price Check'!$A$1:$K$12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4" authorId="0">
      <text>
        <r>
          <rPr>
            <sz val="10"/>
            <rFont val="DejaVu Sans"/>
            <family val="2"/>
          </rPr>
          <t xml:space="preserve">SKU 4NK2QE2HS7XC4TZC; dimension 4NK2QE2HS7XC4TZC.JRTCKXETXF.6YS6EN2CT7; effective 2026-09-01; USD public retail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111</xdr:colOff>
                <xdr:row>3</xdr:row>
                <xdr:rowOff>4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DejaVu Sans"/>
            <family val="2"/>
          </rPr>
          <t xml:space="preserve">SKU RQJ9MJY8F5PSNNWU; dimension RQJ9MJY8F5PSNNWU.JRTCKXETXF.6YS6EN2CT7; effective 2026-08-01; USD public retail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</xdr:rowOff>
              </xdr:from>
              <xdr:to>
                <xdr:col>1</xdr:col>
                <xdr:colOff>111</xdr:colOff>
                <xdr:row>3</xdr:row>
                <xdr:rowOff>40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DejaVu Sans"/>
            <family val="2"/>
          </rPr>
          <t xml:space="preserve">SKU WSEUB4NX5HQYMN3K; dimension WSEUB4NX5HQYMN3K.JRTCKXETXF.6YS6EN2CT7; effective 2026-09-01; USD public retail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16</xdr:rowOff>
              </xdr:from>
              <xdr:to>
                <xdr:col>1</xdr:col>
                <xdr:colOff>111</xdr:colOff>
                <xdr:row>4</xdr:row>
                <xdr:rowOff>20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DejaVu Sans"/>
            <family val="2"/>
          </rPr>
          <t xml:space="preserve">SKU D7RMW443YWTMZ4V5; dimension D7RMW443YWTMZ4V5.JRTCKXETXF.6YS6EN2CT7; effective 2026-09-01; USD public retail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32</xdr:rowOff>
              </xdr:from>
              <xdr:to>
                <xdr:col>1</xdr:col>
                <xdr:colOff>111</xdr:colOff>
                <xdr:row>4</xdr:row>
                <xdr:rowOff>55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DejaVu Sans"/>
            <family val="2"/>
          </rPr>
          <t xml:space="preserve">S3 Standard first-tier estimate, at most 51200 GB; excludes request charges and account-level volume discounts. Regenerate if storage quantities change.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12</xdr:rowOff>
              </xdr:from>
              <xdr:to>
                <xdr:col>1</xdr:col>
                <xdr:colOff>111</xdr:colOff>
                <xdr:row>5</xdr:row>
                <xdr:rowOff>35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48</xdr:rowOff>
              </xdr:from>
              <xdr:to>
                <xdr:col>1</xdr:col>
                <xdr:colOff>111</xdr:colOff>
                <xdr:row>6</xdr:row>
                <xdr:rowOff>15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28</xdr:rowOff>
              </xdr:from>
              <xdr:to>
                <xdr:col>1</xdr:col>
                <xdr:colOff>111</xdr:colOff>
                <xdr:row>6</xdr:row>
                <xdr:rowOff>51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8</xdr:rowOff>
              </xdr:from>
              <xdr:to>
                <xdr:col>1</xdr:col>
                <xdr:colOff>111</xdr:colOff>
                <xdr:row>7</xdr:row>
                <xdr:rowOff>31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43</xdr:rowOff>
              </xdr:from>
              <xdr:to>
                <xdr:col>1</xdr:col>
                <xdr:colOff>111</xdr:colOff>
                <xdr:row>8</xdr:row>
                <xdr:rowOff>11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DejaVu Sans"/>
            <family val="2"/>
          </rPr>
          <t xml:space="preserve">live SKU rate supplied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28</xdr:rowOff>
              </xdr:from>
              <xdr:to>
                <xdr:col>1</xdr:col>
                <xdr:colOff>111</xdr:colOff>
                <xdr:row>15</xdr:row>
                <xdr:rowOff>31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DejaVu Sans"/>
            <family val="2"/>
          </rPr>
          <t xml:space="preserve">live SKU rate supplied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25</xdr:rowOff>
              </xdr:from>
              <xdr:to>
                <xdr:col>1</xdr:col>
                <xdr:colOff>111</xdr:colOff>
                <xdr:row>16</xdr:row>
                <xdr:rowOff>29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<sst xmlns="http://schemas.openxmlformats.org/spreadsheetml/2006/main" count="518" uniqueCount="245">
  <si>
    <t xml:space="preserve">Lab Cost Model – Assumptions</t>
  </si>
  <si>
    <t xml:space="preserve">Assumption</t>
  </si>
  <si>
    <t xml:space="preserve">Value</t>
  </si>
  <si>
    <t xml:space="preserve">Unit / Option</t>
  </si>
  <si>
    <t xml:space="preserve">Notes</t>
  </si>
  <si>
    <t xml:space="preserve">Training title</t>
  </si>
  <si>
    <t xml:space="preserve">DevOps Mastery</t>
  </si>
  <si>
    <t xml:space="preserve">Text</t>
  </si>
  <si>
    <t xml:space="preserve">Client-facing title</t>
  </si>
  <si>
    <t xml:space="preserve">Cloud provider</t>
  </si>
  <si>
    <t xml:space="preserve">AWS</t>
  </si>
  <si>
    <t xml:space="preserve">AWS / Azure / GCP</t>
  </si>
  <si>
    <t xml:space="preserve">Select provider</t>
  </si>
  <si>
    <t xml:space="preserve">Region</t>
  </si>
  <si>
    <t xml:space="preserve">Mumbai</t>
  </si>
  <si>
    <t xml:space="preserve">Mumbai / Central India / GCP Mumbai</t>
  </si>
  <si>
    <t xml:space="preserve">Select matching region</t>
  </si>
  <si>
    <t xml:space="preserve">Hours per day</t>
  </si>
  <si>
    <t xml:space="preserve">hours</t>
  </si>
  <si>
    <t xml:space="preserve">Lab runtime per training day</t>
  </si>
  <si>
    <t xml:space="preserve">Training days</t>
  </si>
  <si>
    <t xml:space="preserve">days</t>
  </si>
  <si>
    <t xml:space="preserve">Total training days</t>
  </si>
  <si>
    <t xml:space="preserve">Participants</t>
  </si>
  <si>
    <t xml:space="preserve">people</t>
  </si>
  <si>
    <t xml:space="preserve">Number of learners</t>
  </si>
  <si>
    <t xml:space="preserve">Storage GB</t>
  </si>
  <si>
    <t xml:space="preserve">GB</t>
  </si>
  <si>
    <t xml:space="preserve">Object storage requirement</t>
  </si>
  <si>
    <t xml:space="preserve">Data egress GB</t>
  </si>
  <si>
    <t xml:space="preserve">Estimated outbound transfer</t>
  </si>
  <si>
    <t xml:space="preserve">Build minutes</t>
  </si>
  <si>
    <t xml:space="preserve">minutes</t>
  </si>
  <si>
    <t xml:space="preserve">CI/CD runner usage</t>
  </si>
  <si>
    <t xml:space="preserve">Monitoring GB</t>
  </si>
  <si>
    <t xml:space="preserve">Monitoring/log ingestion</t>
  </si>
  <si>
    <t xml:space="preserve">Kubernetes worker nodes</t>
  </si>
  <si>
    <t xml:space="preserve">nodes</t>
  </si>
  <si>
    <t xml:space="preserve">Worker count when Kubernetes is used</t>
  </si>
  <si>
    <t xml:space="preserve">USD-to-INR rate</t>
  </si>
  <si>
    <t xml:space="preserve">INR/USD</t>
  </si>
  <si>
    <t xml:space="preserve">Update with current conversion rate</t>
  </si>
  <si>
    <t xml:space="preserve">Contingency percentage</t>
  </si>
  <si>
    <t xml:space="preserve">%</t>
  </si>
  <si>
    <t xml:space="preserve">Risk buffer</t>
  </si>
  <si>
    <t xml:space="preserve">GST percentage</t>
  </si>
  <si>
    <t xml:space="preserve">India GST assumption</t>
  </si>
  <si>
    <t xml:space="preserve">Package</t>
  </si>
  <si>
    <t xml:space="preserve">Standard</t>
  </si>
  <si>
    <t xml:space="preserve">Basic / Standard / Advanced</t>
  </si>
  <si>
    <t xml:space="preserve">Controls support pricing</t>
  </si>
  <si>
    <t xml:space="preserve">Quote validity</t>
  </si>
  <si>
    <t xml:space="preserve">Validity from quote date</t>
  </si>
  <si>
    <t xml:space="preserve">Disk GB per VM / worker node</t>
  </si>
  <si>
    <t xml:space="preserve">Explicit sizing assumption; replace with lab-template node sizing when supplied</t>
  </si>
  <si>
    <t xml:space="preserve">Applied support rate (INR / participant-day)</t>
  </si>
  <si>
    <t xml:space="preserve">INR / participant-day</t>
  </si>
  <si>
    <t xml:space="preserve">Formula selects the applied support tier; total scales with participants and training days</t>
  </si>
  <si>
    <t xml:space="preserve">Advanced support threshold</t>
  </si>
  <si>
    <t xml:space="preserve">participant-days</t>
  </si>
  <si>
    <t xml:space="preserve">At or above this engagement size, Standard is automatically quoted as Advanced support</t>
  </si>
  <si>
    <t xml:space="preserve">Applied support tier</t>
  </si>
  <si>
    <t xml:space="preserve">tier</t>
  </si>
  <si>
    <t xml:space="preserve">Uses participant count × training days</t>
  </si>
  <si>
    <t xml:space="preserve">Basic support rate</t>
  </si>
  <si>
    <t xml:space="preserve">Editable commercial rate</t>
  </si>
  <si>
    <t xml:space="preserve">Standard support rate</t>
  </si>
  <si>
    <t xml:space="preserve">Advanced support rate</t>
  </si>
  <si>
    <t xml:space="preserve">VM profile pricing status</t>
  </si>
  <si>
    <t xml:space="preserve">Live profile rates supplied</t>
  </si>
  <si>
    <t xml:space="preserve">2026-09-14T08:10:58.119393+00:00</t>
  </si>
  <si>
    <t xml:space="preserve">Enter vm_profile_rates and vm_profile_sources with current provider URLs before final client approval</t>
  </si>
  <si>
    <t xml:space="preserve">Rate snapshot ID</t>
  </si>
  <si>
    <t xml:space="preserve">LCQ-C732A86589A14F63BCF04D05FA3BFCFD</t>
  </si>
  <si>
    <t xml:space="preserve">audit ID</t>
  </si>
  <si>
    <t xml:space="preserve">Use this ID to retrieve the rate snapshot and calculation record</t>
  </si>
  <si>
    <t xml:space="preserve">Pricing status</t>
  </si>
  <si>
    <t xml:space="preserve">provider_api_verified_public_retail</t>
  </si>
  <si>
    <t xml:space="preserve">status</t>
  </si>
  <si>
    <t xml:space="preserve">Live SKU rates and official source URLs are required before final client approval</t>
  </si>
  <si>
    <t xml:space="preserve">Rate source</t>
  </si>
  <si>
    <t xml:space="preserve">https://pricing.us-east-1.amazonaws.com/offers/v1.0/aws/AmazonEC2/current/ap-south-1/index.csv</t>
  </si>
  <si>
    <t xml:space="preserve">URL</t>
  </si>
  <si>
    <t xml:space="preserve">Official provider pricing page or approved pricing-export URL</t>
  </si>
  <si>
    <t xml:space="preserve">Rates checked at (UTC)</t>
  </si>
  <si>
    <t xml:space="preserve">timestamp</t>
  </si>
  <si>
    <t xml:space="preserve">Rate snapshot timestamp</t>
  </si>
  <si>
    <t xml:space="preserve">Quote valid until (UTC)</t>
  </si>
  <si>
    <t xml:space="preserve">2026-09-21T08:10:58.119393+00:00</t>
  </si>
  <si>
    <t xml:space="preserve">Recalculate from current rates after this time</t>
  </si>
  <si>
    <t xml:space="preserve">Price-change review threshold</t>
  </si>
  <si>
    <t xml:space="preserve">Escalate for review when refreshed pricing changes beyond this threshold</t>
  </si>
  <si>
    <t xml:space="preserve">Lab architecture</t>
  </si>
  <si>
    <t xml:space="preserve">Proposed learner VMs with shared EKS and 10 GB S3 where required by the TOC. No resources provisioned. Egress, managed build, monitoring and S3 request charges excluded; delete lab resources after each mapped period.</t>
  </si>
  <si>
    <t xml:space="preserve">assumption</t>
  </si>
  <si>
    <t xml:space="preserve">Quantities are total resources; learner VMs scale with participants, shared services do not</t>
  </si>
  <si>
    <t xml:space="preserve">FX status</t>
  </si>
  <si>
    <t xml:space="preserve">User-supplied assumption</t>
  </si>
  <si>
    <t xml:space="preserve">USD/INR is not verified by the cloud price lookup; confirm before approval</t>
  </si>
  <si>
    <t xml:space="preserve">Support pricing status</t>
  </si>
  <si>
    <t xml:space="preserve">Unconfigured / zero charge</t>
  </si>
  <si>
    <t xml:space="preserve">No support price is invented. Confirm the applied tier rate before client approval</t>
  </si>
  <si>
    <t xml:space="preserve">Quote approval status</t>
  </si>
  <si>
    <t xml:space="preserve">Draft — commercial review required</t>
  </si>
  <si>
    <t xml:space="preserve">Provider verification covers selected resource rates only; confirm architecture, access hours, support, FX, taxes and exclusions</t>
  </si>
  <si>
    <t xml:space="preserve">Rate Card – Editable Provider Pricing</t>
  </si>
  <si>
    <t xml:space="preserve">Provider</t>
  </si>
  <si>
    <t xml:space="preserve">Resource</t>
  </si>
  <si>
    <t xml:space="preserve">Billing unit</t>
  </si>
  <si>
    <t xml:space="preserve">USD rate</t>
  </si>
  <si>
    <t xml:space="preserve">INR rate</t>
  </si>
  <si>
    <t xml:space="preserve">Source URL</t>
  </si>
  <si>
    <t xml:space="preserve">Last verified date</t>
  </si>
  <si>
    <t xml:space="preserve">VM</t>
  </si>
  <si>
    <t xml:space="preserve">per hour</t>
  </si>
  <si>
    <t xml:space="preserve">Kubernetes control plane</t>
  </si>
  <si>
    <t xml:space="preserve">per cluster-hour</t>
  </si>
  <si>
    <t xml:space="preserve">https://pricing.us-east-1.amazonaws.com/offers/v1.0/aws/AmazonEKS/current/ap-south-1/index.csv</t>
  </si>
  <si>
    <t xml:space="preserve">Kubernetes worker</t>
  </si>
  <si>
    <t xml:space="preserve">per VM-hour</t>
  </si>
  <si>
    <t xml:space="preserve">Disk</t>
  </si>
  <si>
    <t xml:space="preserve">GB-month</t>
  </si>
  <si>
    <t xml:space="preserve">Storage</t>
  </si>
  <si>
    <t xml:space="preserve">https://pricing.us-east-1.amazonaws.com/offers/v1.0/aws/AmazonS3/current/ap-south-1/index.csv</t>
  </si>
  <si>
    <t xml:space="preserve">Egress</t>
  </si>
  <si>
    <t xml:space="preserve">per GB</t>
  </si>
  <si>
    <t xml:space="preserve">https://aws.amazon.com/pricing/</t>
  </si>
  <si>
    <t xml:space="preserve">Build runner</t>
  </si>
  <si>
    <t xml:space="preserve">per build minute</t>
  </si>
  <si>
    <t xml:space="preserve">Managed database</t>
  </si>
  <si>
    <t xml:space="preserve">Monitoring</t>
  </si>
  <si>
    <t xml:space="preserve">Azure</t>
  </si>
  <si>
    <t xml:space="preserve">Central India</t>
  </si>
  <si>
    <t xml:space="preserve">https://azure.microsoft.com/pricing/details/virtual-machines/</t>
  </si>
  <si>
    <t xml:space="preserve">Not priced for this quote</t>
  </si>
  <si>
    <t xml:space="preserve">https://azure.microsoft.com/pricing/details/kubernetes-service/</t>
  </si>
  <si>
    <t xml:space="preserve">https://azure.microsoft.com/pricing/details/managed-disks/</t>
  </si>
  <si>
    <t xml:space="preserve">https://azure.microsoft.com/pricing/details/storage/blobs/</t>
  </si>
  <si>
    <t xml:space="preserve">https://azure.microsoft.com/pricing/details/bandwidth/</t>
  </si>
  <si>
    <t xml:space="preserve">https://azure.microsoft.com/pricing/details/devops/azure-devops-services/</t>
  </si>
  <si>
    <t xml:space="preserve">https://azure.microsoft.com/pricing/details/azure-sql-database/</t>
  </si>
  <si>
    <t xml:space="preserve">https://azure.microsoft.com/pricing/details/monitor/</t>
  </si>
  <si>
    <t xml:space="preserve">GCP</t>
  </si>
  <si>
    <t xml:space="preserve">GCP Mumbai</t>
  </si>
  <si>
    <t xml:space="preserve">https://cloud.google.com/compute/vm-instance-pricing</t>
  </si>
  <si>
    <t xml:space="preserve">https://cloud.google.com/kubernetes-engine/pricing</t>
  </si>
  <si>
    <t xml:space="preserve">https://cloud.google.com/compute/disks-image-pricing</t>
  </si>
  <si>
    <t xml:space="preserve">https://cloud.google.com/storage/pricing</t>
  </si>
  <si>
    <t xml:space="preserve">https://cloud.google.com/vpc/network-pricing</t>
  </si>
  <si>
    <t xml:space="preserve">https://cloud.google.com/build/pricing</t>
  </si>
  <si>
    <t xml:space="preserve">https://cloud.google.com/sql/pricing</t>
  </si>
  <si>
    <t xml:space="preserve">https://cloud.google.com/stackdriver/pricing</t>
  </si>
  <si>
    <t xml:space="preserve">VM Light</t>
  </si>
  <si>
    <t xml:space="preserve">VM Heavy</t>
  </si>
  <si>
    <t xml:space="preserve">Training TOC → Infrastructure Mapping</t>
  </si>
  <si>
    <t xml:space="preserve">Day</t>
  </si>
  <si>
    <t xml:space="preserve">Training topic</t>
  </si>
  <si>
    <t xml:space="preserve">VM qty</t>
  </si>
  <si>
    <t xml:space="preserve">VM profile</t>
  </si>
  <si>
    <t xml:space="preserve">K8s control plane</t>
  </si>
  <si>
    <t xml:space="preserve">K8s worker nodes</t>
  </si>
  <si>
    <t xml:space="preserve">Managed DB</t>
  </si>
  <si>
    <t xml:space="preserve">Object storage</t>
  </si>
  <si>
    <t xml:space="preserve">Active days</t>
  </si>
  <si>
    <t xml:space="preserve">DevOps Orientation, SDLC and Agile Delivery</t>
  </si>
  <si>
    <t xml:space="preserve">Heavy</t>
  </si>
  <si>
    <t xml:space="preserve">Linux Fundamentals for DevOps</t>
  </si>
  <si>
    <t xml:space="preserve">Light</t>
  </si>
  <si>
    <t xml:space="preserve">Shell Scripting and Automation</t>
  </si>
  <si>
    <t xml:space="preserve">Networking, SSH and Web Basics</t>
  </si>
  <si>
    <t xml:space="preserve">Git and GitHub Collaboration</t>
  </si>
  <si>
    <t xml:space="preserve">Build Tools and Artifact Management</t>
  </si>
  <si>
    <t xml:space="preserve">Jenkins Fundamentals</t>
  </si>
  <si>
    <t xml:space="preserve">Jenkins Pipeline as Code</t>
  </si>
  <si>
    <t xml:space="preserve">GitHub Actions and GitLab CI</t>
  </si>
  <si>
    <t xml:space="preserve">Docker Fundamentals</t>
  </si>
  <si>
    <t xml:space="preserve">Docker Compose and Multi-Container Apps</t>
  </si>
  <si>
    <t xml:space="preserve">Container Registry and Image Security</t>
  </si>
  <si>
    <t xml:space="preserve">Kubernetes Architecture</t>
  </si>
  <si>
    <t xml:space="preserve">Kubernetes Workloads and Services</t>
  </si>
  <si>
    <t xml:space="preserve">Kubernetes Storage, RBAC and Troubleshooting</t>
  </si>
  <si>
    <t xml:space="preserve">Helm Package Management</t>
  </si>
  <si>
    <t xml:space="preserve">AWS DevOps Foundations</t>
  </si>
  <si>
    <t xml:space="preserve">AWS CI/CD and Container Services</t>
  </si>
  <si>
    <t xml:space="preserve">Azure DevOps Foundations</t>
  </si>
  <si>
    <t xml:space="preserve">Capstone Demo and Certification Roadmap</t>
  </si>
  <si>
    <t xml:space="preserve">Mapping note</t>
  </si>
  <si>
    <t xml:space="preserve"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</si>
  <si>
    <t xml:space="preserve">Resource Cost Breakdown – Billing-Unit Based</t>
  </si>
  <si>
    <t xml:space="preserve">Quantity</t>
  </si>
  <si>
    <t xml:space="preserve">Rate (INR)</t>
  </si>
  <si>
    <t xml:space="preserve">Usage driver</t>
  </si>
  <si>
    <t xml:space="preserve">Days / Hours</t>
  </si>
  <si>
    <t xml:space="preserve">Formula basis</t>
  </si>
  <si>
    <t xml:space="preserve">Total (INR)</t>
  </si>
  <si>
    <t xml:space="preserve">VM (profiled)</t>
  </si>
  <si>
    <t xml:space="preserve">runtime hours</t>
  </si>
  <si>
    <t xml:space="preserve">Light/Heavy VM-days × respective rate × Hours/day</t>
  </si>
  <si>
    <t xml:space="preserve">Resource-days × Rate × Hours/day</t>
  </si>
  <si>
    <t xml:space="preserve">prorated days</t>
  </si>
  <si>
    <t xml:space="preserve">GB-node-days × monthly rate / 30</t>
  </si>
  <si>
    <t xml:space="preserve">GB-days × monthly rate / 30</t>
  </si>
  <si>
    <t xml:space="preserve">one-time</t>
  </si>
  <si>
    <t xml:space="preserve">GB × Rate</t>
  </si>
  <si>
    <t xml:space="preserve">Minutes × Rate</t>
  </si>
  <si>
    <t xml:space="preserve">Total Infrastructure Cost</t>
  </si>
  <si>
    <t xml:space="preserve">Client Lab Cost Estimate</t>
  </si>
  <si>
    <t xml:space="preserve">CLIENT QUOTE SUMMARY</t>
  </si>
  <si>
    <t xml:space="preserve">Cloud provider and region</t>
  </si>
  <si>
    <t xml:space="preserve">Number of participants</t>
  </si>
  <si>
    <t xml:space="preserve">Training days and hours/day</t>
  </si>
  <si>
    <t xml:space="preserve">Infrastructure cost</t>
  </si>
  <si>
    <t xml:space="preserve">Support cost</t>
  </si>
  <si>
    <t xml:space="preserve">Contingency</t>
  </si>
  <si>
    <t xml:space="preserve">Tax / GST</t>
  </si>
  <si>
    <t xml:space="preserve">Final estimated cost</t>
  </si>
  <si>
    <t xml:space="preserve">Cost per participant</t>
  </si>
  <si>
    <t xml:space="preserve">Estimate notes</t>
  </si>
  <si>
    <t xml:space="preserve">Fresh public retail rates checked: 2026-09-14T08:10:58.119393+00:00. Valid until: 2026-09-21T08:10:58.119393+00:00. Price-change review: not triggered. See Live Price Check. Account discounts and future usage may differ.</t>
  </si>
  <si>
    <t xml:space="preserve">SKU</t>
  </si>
  <si>
    <t xml:space="preserve">Billing dimension</t>
  </si>
  <si>
    <t xml:space="preserve">Unit</t>
  </si>
  <si>
    <t xml:space="preserve">Source</t>
  </si>
  <si>
    <t xml:space="preserve">Checked at</t>
  </si>
  <si>
    <t xml:space="preserve">Previous USD rate</t>
  </si>
  <si>
    <t xml:space="preserve">Change %</t>
  </si>
  <si>
    <t xml:space="preserve">Review required</t>
  </si>
  <si>
    <t xml:space="preserve">4NK2QE2HS7XC4TZC</t>
  </si>
  <si>
    <t xml:space="preserve">4NK2QE2HS7XC4TZC.JRTCKXETXF.6YS6EN2CT7</t>
  </si>
  <si>
    <t xml:space="preserve">Hrs</t>
  </si>
  <si>
    <t xml:space="preserve">No</t>
  </si>
  <si>
    <t xml:space="preserve">WSEUB4NX5HQYMN3K</t>
  </si>
  <si>
    <t xml:space="preserve">WSEUB4NX5HQYMN3K.JRTCKXETXF.6YS6EN2CT7</t>
  </si>
  <si>
    <t xml:space="preserve">RQJ9MJY8F5PSNNWU</t>
  </si>
  <si>
    <t xml:space="preserve">RQJ9MJY8F5PSNNWU.JRTCKXETXF.6YS6EN2CT7</t>
  </si>
  <si>
    <t xml:space="preserve">Hours</t>
  </si>
  <si>
    <t xml:space="preserve">D7RMW443YWTMZ4V5</t>
  </si>
  <si>
    <t xml:space="preserve">D7RMW443YWTMZ4V5.JRTCKXETXF.6YS6EN2CT7</t>
  </si>
  <si>
    <t xml:space="preserve">GB-Mo</t>
  </si>
  <si>
    <t xml:space="preserve">USGUTP2JY23N9GH2</t>
  </si>
  <si>
    <t xml:space="preserve">USGUTP2JY23N9GH2.JRTCKXETXF.PGHJ3S3EYE</t>
  </si>
  <si>
    <t xml:space="preserve">NOT_BILLED</t>
  </si>
  <si>
    <t xml:space="preserve">not-enabled</t>
  </si>
  <si>
    <t xml:space="preserve">1 GB</t>
  </si>
  <si>
    <t xml:space="preserve">1 Hour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</si>
</sst>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[RED]\(0.0%\);\-"/>
    <numFmt numFmtId="166" formatCode="\$0.0000;[RED]&quot;($&quot;0.0000\);\-"/>
    <numFmt numFmtId="167" formatCode="\₹#,##0.00;[RED]&quot;(₹&quot;#,##0.00\);\-"/>
    <numFmt numFmtId="168" formatCode="yyyy\-mm\-dd"/>
  </numFmts>
  <fonts count="13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595959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8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0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2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2F75B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</table>
</file>

<file path=xl/tables/table2.xml><?xml version="1.0" encoding="utf-8"?>
<table xmlns="http://schemas.openxmlformats.org/spreadsheetml/2006/main" id="2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</table>
</file>

<file path=xl/tables/table3.xml><?xml version="1.0" encoding="utf-8"?>
<table xmlns="http://schemas.openxmlformats.org/spreadsheetml/2006/main" id="3" name="TOCMappingTable" displayName="TOCMappingTable" ref="A3:I23" headerRowCount="1" totalsRowCount="0" totalsRowShown="0">
  <tableColumns count="9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  <tableColumn id="9" name="Active day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29.77"/>
    <col collapsed="false" customWidth="true" hidden="false" outlineLevel="0" max="2" min="2" style="0" width="24.25"/>
    <col collapsed="false" customWidth="true" hidden="false" outlineLevel="0" max="3" min="3" style="0" width="29.77"/>
    <col collapsed="false" customWidth="true" hidden="false" outlineLevel="0" max="4" min="4" style="0" width="37.4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false" outlineLevel="0" collapsed="false">
      <c r="A4" s="4" t="s">
        <v>5</v>
      </c>
      <c r="B4" s="5" t="s">
        <v>6</v>
      </c>
      <c r="C4" s="2" t="s">
        <v>7</v>
      </c>
      <c r="D4" s="2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2" t="s">
        <v>11</v>
      </c>
      <c r="D5" s="2" t="s">
        <v>12</v>
      </c>
    </row>
    <row r="6" customFormat="false" ht="28.35" hidden="false" customHeight="false" outlineLevel="0" collapsed="false">
      <c r="A6" s="4" t="s">
        <v>13</v>
      </c>
      <c r="B6" s="5" t="s">
        <v>14</v>
      </c>
      <c r="C6" s="2" t="s">
        <v>15</v>
      </c>
      <c r="D6" s="2" t="s">
        <v>16</v>
      </c>
    </row>
    <row r="7" customFormat="false" ht="15" hidden="false" customHeight="false" outlineLevel="0" collapsed="false">
      <c r="A7" s="4" t="s">
        <v>17</v>
      </c>
      <c r="B7" s="5" t="n">
        <v>3</v>
      </c>
      <c r="C7" s="2" t="s">
        <v>18</v>
      </c>
      <c r="D7" s="2" t="s">
        <v>19</v>
      </c>
    </row>
    <row r="8" customFormat="false" ht="15" hidden="false" customHeight="false" outlineLevel="0" collapsed="false">
      <c r="A8" s="4" t="s">
        <v>20</v>
      </c>
      <c r="B8" s="5" t="n">
        <v>20</v>
      </c>
      <c r="C8" s="2" t="s">
        <v>21</v>
      </c>
      <c r="D8" s="2" t="s">
        <v>22</v>
      </c>
    </row>
    <row r="9" customFormat="false" ht="15" hidden="false" customHeight="false" outlineLevel="0" collapsed="false">
      <c r="A9" s="4" t="s">
        <v>23</v>
      </c>
      <c r="B9" s="5" t="n">
        <v>20</v>
      </c>
      <c r="C9" s="2" t="s">
        <v>24</v>
      </c>
      <c r="D9" s="2" t="s">
        <v>25</v>
      </c>
    </row>
    <row r="10" customFormat="false" ht="15" hidden="false" customHeight="false" outlineLevel="0" collapsed="false">
      <c r="A10" s="4" t="s">
        <v>26</v>
      </c>
      <c r="B10" s="5" t="n">
        <v>10</v>
      </c>
      <c r="C10" s="2" t="s">
        <v>27</v>
      </c>
      <c r="D10" s="2" t="s">
        <v>28</v>
      </c>
    </row>
    <row r="11" customFormat="false" ht="15" hidden="false" customHeight="false" outlineLevel="0" collapsed="false">
      <c r="A11" s="4" t="s">
        <v>29</v>
      </c>
      <c r="B11" s="5" t="n">
        <v>0</v>
      </c>
      <c r="C11" s="2" t="s">
        <v>27</v>
      </c>
      <c r="D11" s="2" t="s">
        <v>30</v>
      </c>
    </row>
    <row r="12" customFormat="false" ht="15" hidden="false" customHeight="false" outlineLevel="0" collapsed="false">
      <c r="A12" s="4" t="s">
        <v>31</v>
      </c>
      <c r="B12" s="5" t="n">
        <v>0</v>
      </c>
      <c r="C12" s="2" t="s">
        <v>32</v>
      </c>
      <c r="D12" s="2" t="s">
        <v>33</v>
      </c>
    </row>
    <row r="13" customFormat="false" ht="15" hidden="false" customHeight="false" outlineLevel="0" collapsed="false">
      <c r="A13" s="4" t="s">
        <v>34</v>
      </c>
      <c r="B13" s="5" t="n">
        <v>0</v>
      </c>
      <c r="C13" s="2" t="s">
        <v>27</v>
      </c>
      <c r="D13" s="2" t="s">
        <v>35</v>
      </c>
    </row>
    <row r="14" customFormat="false" ht="15" hidden="false" customHeight="false" outlineLevel="0" collapsed="false">
      <c r="A14" s="4" t="s">
        <v>36</v>
      </c>
      <c r="B14" s="5" t="n">
        <v>1</v>
      </c>
      <c r="C14" s="2" t="s">
        <v>37</v>
      </c>
      <c r="D14" s="2" t="s">
        <v>38</v>
      </c>
    </row>
    <row r="15" customFormat="false" ht="15" hidden="false" customHeight="false" outlineLevel="0" collapsed="false">
      <c r="A15" s="4" t="s">
        <v>39</v>
      </c>
      <c r="B15" s="5" t="n">
        <v>95.56</v>
      </c>
      <c r="C15" s="2" t="s">
        <v>40</v>
      </c>
      <c r="D15" s="2" t="s">
        <v>41</v>
      </c>
    </row>
    <row r="16" customFormat="false" ht="15" hidden="false" customHeight="false" outlineLevel="0" collapsed="false">
      <c r="A16" s="4" t="s">
        <v>42</v>
      </c>
      <c r="B16" s="6" t="n">
        <v>0.1</v>
      </c>
      <c r="C16" s="2" t="s">
        <v>43</v>
      </c>
      <c r="D16" s="2" t="s">
        <v>44</v>
      </c>
    </row>
    <row r="17" customFormat="false" ht="15" hidden="false" customHeight="false" outlineLevel="0" collapsed="false">
      <c r="A17" s="4" t="s">
        <v>45</v>
      </c>
      <c r="B17" s="6" t="n">
        <v>0.18</v>
      </c>
      <c r="C17" s="2" t="s">
        <v>43</v>
      </c>
      <c r="D17" s="2" t="s">
        <v>46</v>
      </c>
    </row>
    <row r="18" customFormat="false" ht="15" hidden="false" customHeight="false" outlineLevel="0" collapsed="false">
      <c r="A18" s="4" t="s">
        <v>47</v>
      </c>
      <c r="B18" s="5" t="s">
        <v>48</v>
      </c>
      <c r="C18" s="2" t="s">
        <v>49</v>
      </c>
      <c r="D18" s="2" t="s">
        <v>50</v>
      </c>
    </row>
    <row r="19" customFormat="false" ht="15" hidden="false" customHeight="false" outlineLevel="0" collapsed="false">
      <c r="A19" s="4" t="s">
        <v>51</v>
      </c>
      <c r="B19" s="5" t="n">
        <v>7</v>
      </c>
      <c r="C19" s="2" t="s">
        <v>21</v>
      </c>
      <c r="D19" s="2" t="s">
        <v>52</v>
      </c>
    </row>
    <row r="20" customFormat="false" ht="28.35" hidden="false" customHeight="false" outlineLevel="0" collapsed="false">
      <c r="A20" s="4" t="s">
        <v>53</v>
      </c>
      <c r="B20" s="5" t="n">
        <v>20</v>
      </c>
      <c r="C20" s="2" t="s">
        <v>27</v>
      </c>
      <c r="D20" s="2" t="s">
        <v>54</v>
      </c>
    </row>
    <row r="21" customFormat="false" ht="41.75" hidden="false" customHeight="false" outlineLevel="0" collapsed="false">
      <c r="A21" s="4" t="s">
        <v>55</v>
      </c>
      <c r="B21" s="5" t="n">
        <f aca="false">IF(B23="Basic",B24,IF(B23="Standard",B25,B26))</f>
        <v>0</v>
      </c>
      <c r="C21" s="2" t="s">
        <v>56</v>
      </c>
      <c r="D21" s="2" t="s">
        <v>57</v>
      </c>
    </row>
    <row r="22" customFormat="false" ht="41.75" hidden="false" customHeight="false" outlineLevel="0" collapsed="false">
      <c r="A22" s="4" t="s">
        <v>58</v>
      </c>
      <c r="B22" s="5" t="n">
        <v>400</v>
      </c>
      <c r="C22" s="2" t="s">
        <v>59</v>
      </c>
      <c r="D22" s="2" t="s">
        <v>60</v>
      </c>
    </row>
    <row r="23" customFormat="false" ht="15" hidden="false" customHeight="false" outlineLevel="0" collapsed="false">
      <c r="A23" s="4" t="s">
        <v>61</v>
      </c>
      <c r="B23" s="5" t="str">
        <f aca="false">IF(AND(B18="Standard",B9*B8&gt;=B22),"Advanced",B18)</f>
        <v>Advanced</v>
      </c>
      <c r="C23" s="2" t="s">
        <v>62</v>
      </c>
      <c r="D23" s="2" t="s">
        <v>63</v>
      </c>
    </row>
    <row r="24" customFormat="false" ht="15" hidden="false" customHeight="false" outlineLevel="0" collapsed="false">
      <c r="A24" s="4" t="s">
        <v>64</v>
      </c>
      <c r="B24" s="5" t="n">
        <v>0</v>
      </c>
      <c r="C24" s="2" t="s">
        <v>56</v>
      </c>
      <c r="D24" s="2" t="s">
        <v>65</v>
      </c>
    </row>
    <row r="25" customFormat="false" ht="15" hidden="false" customHeight="false" outlineLevel="0" collapsed="false">
      <c r="A25" s="4" t="s">
        <v>66</v>
      </c>
      <c r="B25" s="5" t="n">
        <v>0</v>
      </c>
      <c r="C25" s="2" t="s">
        <v>56</v>
      </c>
      <c r="D25" s="2" t="s">
        <v>65</v>
      </c>
    </row>
    <row r="26" customFormat="false" ht="15" hidden="false" customHeight="false" outlineLevel="0" collapsed="false">
      <c r="A26" s="4" t="s">
        <v>67</v>
      </c>
      <c r="B26" s="5" t="n">
        <v>0</v>
      </c>
      <c r="C26" s="2" t="s">
        <v>56</v>
      </c>
      <c r="D26" s="2" t="s">
        <v>65</v>
      </c>
    </row>
    <row r="27" customFormat="false" ht="55.2" hidden="false" customHeight="false" outlineLevel="0" collapsed="false">
      <c r="A27" s="4" t="s">
        <v>68</v>
      </c>
      <c r="B27" s="5" t="s">
        <v>69</v>
      </c>
      <c r="C27" s="2" t="s">
        <v>70</v>
      </c>
      <c r="D27" s="2" t="s">
        <v>71</v>
      </c>
    </row>
    <row r="28" customFormat="false" ht="41.75" hidden="false" customHeight="false" outlineLevel="0" collapsed="false">
      <c r="A28" s="4" t="s">
        <v>72</v>
      </c>
      <c r="B28" s="5" t="s">
        <v>73</v>
      </c>
      <c r="C28" s="2" t="s">
        <v>74</v>
      </c>
      <c r="D28" s="2" t="s">
        <v>75</v>
      </c>
    </row>
    <row r="29" customFormat="false" ht="28.35" hidden="false" customHeight="false" outlineLevel="0" collapsed="false">
      <c r="A29" s="4" t="s">
        <v>76</v>
      </c>
      <c r="B29" s="5" t="s">
        <v>77</v>
      </c>
      <c r="C29" s="2" t="s">
        <v>78</v>
      </c>
      <c r="D29" s="2" t="s">
        <v>79</v>
      </c>
    </row>
    <row r="30" customFormat="false" ht="68.65" hidden="false" customHeight="false" outlineLevel="0" collapsed="false">
      <c r="A30" s="4" t="s">
        <v>80</v>
      </c>
      <c r="B30" s="5" t="s">
        <v>81</v>
      </c>
      <c r="C30" s="2" t="s">
        <v>82</v>
      </c>
      <c r="D30" s="2" t="s">
        <v>83</v>
      </c>
    </row>
    <row r="31" customFormat="false" ht="41.75" hidden="false" customHeight="false" outlineLevel="0" collapsed="false">
      <c r="A31" s="4" t="s">
        <v>84</v>
      </c>
      <c r="B31" s="5" t="s">
        <v>70</v>
      </c>
      <c r="C31" s="2" t="s">
        <v>85</v>
      </c>
      <c r="D31" s="2" t="s">
        <v>86</v>
      </c>
    </row>
    <row r="32" customFormat="false" ht="41.75" hidden="false" customHeight="false" outlineLevel="0" collapsed="false">
      <c r="A32" s="4" t="s">
        <v>87</v>
      </c>
      <c r="B32" s="5" t="s">
        <v>88</v>
      </c>
      <c r="C32" s="2" t="s">
        <v>85</v>
      </c>
      <c r="D32" s="2" t="s">
        <v>89</v>
      </c>
    </row>
    <row r="33" customFormat="false" ht="28.35" hidden="false" customHeight="false" outlineLevel="0" collapsed="false">
      <c r="A33" s="4" t="s">
        <v>90</v>
      </c>
      <c r="B33" s="5" t="n">
        <v>5</v>
      </c>
      <c r="C33" s="2" t="s">
        <v>43</v>
      </c>
      <c r="D33" s="2" t="s">
        <v>91</v>
      </c>
    </row>
    <row r="34" customFormat="false" ht="149.25" hidden="false" customHeight="false" outlineLevel="0" collapsed="false">
      <c r="A34" s="4" t="s">
        <v>92</v>
      </c>
      <c r="B34" s="5" t="s">
        <v>93</v>
      </c>
      <c r="C34" s="2" t="s">
        <v>94</v>
      </c>
      <c r="D34" s="2" t="s">
        <v>95</v>
      </c>
    </row>
    <row r="35" customFormat="false" ht="28.35" hidden="false" customHeight="false" outlineLevel="0" collapsed="false">
      <c r="A35" s="4" t="s">
        <v>96</v>
      </c>
      <c r="B35" s="5" t="s">
        <v>97</v>
      </c>
      <c r="C35" s="2" t="s">
        <v>78</v>
      </c>
      <c r="D35" s="2" t="s">
        <v>98</v>
      </c>
    </row>
    <row r="36" customFormat="false" ht="41.75" hidden="false" customHeight="false" outlineLevel="0" collapsed="false">
      <c r="A36" s="4" t="s">
        <v>99</v>
      </c>
      <c r="B36" s="5" t="s">
        <v>100</v>
      </c>
      <c r="C36" s="2" t="s">
        <v>78</v>
      </c>
      <c r="D36" s="2" t="s">
        <v>101</v>
      </c>
    </row>
    <row r="37" customFormat="false" ht="55.2" hidden="false" customHeight="false" outlineLevel="0" collapsed="false">
      <c r="A37" s="4" t="s">
        <v>102</v>
      </c>
      <c r="B37" s="5" t="s">
        <v>103</v>
      </c>
      <c r="C37" s="2" t="s">
        <v>78</v>
      </c>
      <c r="D37" s="2" t="s">
        <v>104</v>
      </c>
    </row>
  </sheetData>
  <mergeCells count="1">
    <mergeCell ref="A1:D1"/>
  </mergeCells>
  <dataValidations count="3">
    <dataValidation allowBlank="false" errorStyle="stop" operator="between" showDropDown="false" showErrorMessage="false" showInputMessage="false" sqref="B5" type="list">
      <formula1>"AWS,Azure,GCP"</formula1>
      <formula2>0</formula2>
    </dataValidation>
    <dataValidation allowBlank="false" errorStyle="stop" operator="between" showDropDown="false" showErrorMessage="false" showInputMessage="false" sqref="B6" type="list">
      <formula1>"Mumbai,Central India,GCP Mumbai"</formula1>
      <formula2>0</formula2>
    </dataValidation>
    <dataValidation allowBlank="false" errorStyle="stop" operator="between" showDropDown="false" showErrorMessage="false" showInputMessage="false" sqref="B18" type="list">
      <formula1>"Basic,Standard,Advanced"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13.23"/>
    <col collapsed="false" customWidth="true" hidden="false" outlineLevel="0" max="2" min="2" style="0" width="18.74"/>
    <col collapsed="false" customWidth="true" hidden="false" outlineLevel="0" max="3" min="3" style="0" width="28.66"/>
    <col collapsed="false" customWidth="true" hidden="false" outlineLevel="0" max="4" min="4" style="0" width="23.15"/>
    <col collapsed="false" customWidth="true" hidden="false" outlineLevel="0" max="6" min="5" style="0" width="15.43"/>
    <col collapsed="false" customWidth="true" hidden="false" outlineLevel="0" max="7" min="7" style="0" width="50.71"/>
    <col collapsed="false" customWidth="true" hidden="false" outlineLevel="0" max="8" min="8" style="0" width="19.84"/>
  </cols>
  <sheetData>
    <row r="1" customFormat="false" ht="27.7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106</v>
      </c>
      <c r="B3" s="3" t="s">
        <v>13</v>
      </c>
      <c r="C3" s="3" t="s">
        <v>107</v>
      </c>
      <c r="D3" s="3" t="s">
        <v>108</v>
      </c>
      <c r="E3" s="3" t="s">
        <v>109</v>
      </c>
      <c r="F3" s="3" t="s">
        <v>110</v>
      </c>
      <c r="G3" s="3" t="s">
        <v>111</v>
      </c>
      <c r="H3" s="3" t="s">
        <v>112</v>
      </c>
    </row>
    <row r="4" customFormat="false" ht="41.75" hidden="false" customHeight="false" outlineLevel="0" collapsed="false">
      <c r="A4" s="2" t="s">
        <v>10</v>
      </c>
      <c r="B4" s="2" t="s">
        <v>14</v>
      </c>
      <c r="C4" s="2" t="s">
        <v>113</v>
      </c>
      <c r="D4" s="2" t="s">
        <v>114</v>
      </c>
      <c r="E4" s="7" t="n">
        <v>0.0448</v>
      </c>
      <c r="F4" s="8" t="n">
        <f aca="false">E4*Assumptions!$B$15</f>
        <v>4.281088</v>
      </c>
      <c r="G4" s="2" t="s">
        <v>81</v>
      </c>
      <c r="H4" s="9" t="s">
        <v>70</v>
      </c>
    </row>
    <row r="5" customFormat="false" ht="41.75" hidden="false" customHeight="false" outlineLevel="0" collapsed="false">
      <c r="A5" s="2" t="s">
        <v>10</v>
      </c>
      <c r="B5" s="2" t="s">
        <v>14</v>
      </c>
      <c r="C5" s="2" t="s">
        <v>115</v>
      </c>
      <c r="D5" s="2" t="s">
        <v>116</v>
      </c>
      <c r="E5" s="7" t="n">
        <v>0.1</v>
      </c>
      <c r="F5" s="8" t="n">
        <f aca="false">E5*Assumptions!$B$15</f>
        <v>9.556</v>
      </c>
      <c r="G5" s="2" t="s">
        <v>117</v>
      </c>
      <c r="H5" s="9" t="s">
        <v>70</v>
      </c>
    </row>
    <row r="6" customFormat="false" ht="41.75" hidden="false" customHeight="false" outlineLevel="0" collapsed="false">
      <c r="A6" s="2" t="s">
        <v>10</v>
      </c>
      <c r="B6" s="2" t="s">
        <v>14</v>
      </c>
      <c r="C6" s="2" t="s">
        <v>118</v>
      </c>
      <c r="D6" s="2" t="s">
        <v>119</v>
      </c>
      <c r="E6" s="7" t="n">
        <v>0.1792</v>
      </c>
      <c r="F6" s="8" t="n">
        <f aca="false">E6*Assumptions!$B$15</f>
        <v>17.124352</v>
      </c>
      <c r="G6" s="2" t="s">
        <v>81</v>
      </c>
      <c r="H6" s="9" t="s">
        <v>70</v>
      </c>
    </row>
    <row r="7" customFormat="false" ht="41.75" hidden="false" customHeight="false" outlineLevel="0" collapsed="false">
      <c r="A7" s="2" t="s">
        <v>10</v>
      </c>
      <c r="B7" s="2" t="s">
        <v>14</v>
      </c>
      <c r="C7" s="2" t="s">
        <v>120</v>
      </c>
      <c r="D7" s="2" t="s">
        <v>121</v>
      </c>
      <c r="E7" s="7" t="n">
        <v>0.0912</v>
      </c>
      <c r="F7" s="8" t="n">
        <f aca="false">E7*Assumptions!$B$15</f>
        <v>8.715072</v>
      </c>
      <c r="G7" s="2" t="s">
        <v>81</v>
      </c>
      <c r="H7" s="9" t="s">
        <v>70</v>
      </c>
    </row>
    <row r="8" customFormat="false" ht="41.75" hidden="false" customHeight="false" outlineLevel="0" collapsed="false">
      <c r="A8" s="2" t="s">
        <v>10</v>
      </c>
      <c r="B8" s="2" t="s">
        <v>14</v>
      </c>
      <c r="C8" s="2" t="s">
        <v>122</v>
      </c>
      <c r="D8" s="2" t="s">
        <v>121</v>
      </c>
      <c r="E8" s="7" t="n">
        <v>0.025</v>
      </c>
      <c r="F8" s="8" t="n">
        <f aca="false">E8*Assumptions!$B$15</f>
        <v>2.389</v>
      </c>
      <c r="G8" s="2" t="s">
        <v>123</v>
      </c>
      <c r="H8" s="9" t="s">
        <v>70</v>
      </c>
    </row>
    <row r="9" customFormat="false" ht="41.75" hidden="false" customHeight="false" outlineLevel="0" collapsed="false">
      <c r="A9" s="2" t="s">
        <v>10</v>
      </c>
      <c r="B9" s="2" t="s">
        <v>14</v>
      </c>
      <c r="C9" s="2" t="s">
        <v>124</v>
      </c>
      <c r="D9" s="2" t="s">
        <v>125</v>
      </c>
      <c r="E9" s="7" t="n">
        <v>0</v>
      </c>
      <c r="F9" s="8" t="n">
        <f aca="false">E9*Assumptions!$B$15</f>
        <v>0</v>
      </c>
      <c r="G9" s="2" t="s">
        <v>126</v>
      </c>
      <c r="H9" s="9" t="s">
        <v>70</v>
      </c>
    </row>
    <row r="10" customFormat="false" ht="41.75" hidden="false" customHeight="false" outlineLevel="0" collapsed="false">
      <c r="A10" s="2" t="s">
        <v>10</v>
      </c>
      <c r="B10" s="2" t="s">
        <v>14</v>
      </c>
      <c r="C10" s="2" t="s">
        <v>127</v>
      </c>
      <c r="D10" s="2" t="s">
        <v>128</v>
      </c>
      <c r="E10" s="7" t="n">
        <v>0</v>
      </c>
      <c r="F10" s="8" t="n">
        <f aca="false">E10*Assumptions!$B$15</f>
        <v>0</v>
      </c>
      <c r="G10" s="2" t="s">
        <v>126</v>
      </c>
      <c r="H10" s="9" t="s">
        <v>70</v>
      </c>
    </row>
    <row r="11" customFormat="false" ht="41.75" hidden="false" customHeight="false" outlineLevel="0" collapsed="false">
      <c r="A11" s="2" t="s">
        <v>10</v>
      </c>
      <c r="B11" s="2" t="s">
        <v>14</v>
      </c>
      <c r="C11" s="2" t="s">
        <v>129</v>
      </c>
      <c r="D11" s="2" t="s">
        <v>114</v>
      </c>
      <c r="E11" s="7" t="n">
        <v>0</v>
      </c>
      <c r="F11" s="8" t="n">
        <f aca="false">E11*Assumptions!$B$15</f>
        <v>0</v>
      </c>
      <c r="G11" s="2" t="s">
        <v>126</v>
      </c>
      <c r="H11" s="9" t="s">
        <v>70</v>
      </c>
    </row>
    <row r="12" customFormat="false" ht="41.75" hidden="false" customHeight="false" outlineLevel="0" collapsed="false">
      <c r="A12" s="2" t="s">
        <v>10</v>
      </c>
      <c r="B12" s="2" t="s">
        <v>14</v>
      </c>
      <c r="C12" s="2" t="s">
        <v>130</v>
      </c>
      <c r="D12" s="2" t="s">
        <v>125</v>
      </c>
      <c r="E12" s="7" t="n">
        <v>0</v>
      </c>
      <c r="F12" s="8" t="n">
        <f aca="false">E12*Assumptions!$B$15</f>
        <v>0</v>
      </c>
      <c r="G12" s="2" t="s">
        <v>126</v>
      </c>
      <c r="H12" s="9" t="s">
        <v>70</v>
      </c>
    </row>
    <row r="13" customFormat="false" ht="28.35" hidden="false" customHeight="false" outlineLevel="0" collapsed="false">
      <c r="A13" s="2" t="s">
        <v>131</v>
      </c>
      <c r="B13" s="2" t="s">
        <v>132</v>
      </c>
      <c r="C13" s="2" t="s">
        <v>113</v>
      </c>
      <c r="D13" s="2" t="s">
        <v>114</v>
      </c>
      <c r="E13" s="7"/>
      <c r="F13" s="8"/>
      <c r="G13" s="2" t="s">
        <v>133</v>
      </c>
      <c r="H13" s="9" t="s">
        <v>134</v>
      </c>
    </row>
    <row r="14" customFormat="false" ht="28.35" hidden="false" customHeight="false" outlineLevel="0" collapsed="false">
      <c r="A14" s="2" t="s">
        <v>131</v>
      </c>
      <c r="B14" s="2" t="s">
        <v>132</v>
      </c>
      <c r="C14" s="2" t="s">
        <v>115</v>
      </c>
      <c r="D14" s="2" t="s">
        <v>116</v>
      </c>
      <c r="E14" s="7"/>
      <c r="F14" s="8"/>
      <c r="G14" s="2" t="s">
        <v>135</v>
      </c>
      <c r="H14" s="9" t="s">
        <v>134</v>
      </c>
    </row>
    <row r="15" customFormat="false" ht="28.35" hidden="false" customHeight="false" outlineLevel="0" collapsed="false">
      <c r="A15" s="2" t="s">
        <v>131</v>
      </c>
      <c r="B15" s="2" t="s">
        <v>132</v>
      </c>
      <c r="C15" s="2" t="s">
        <v>118</v>
      </c>
      <c r="D15" s="2" t="s">
        <v>119</v>
      </c>
      <c r="E15" s="7"/>
      <c r="F15" s="8"/>
      <c r="G15" s="2" t="s">
        <v>133</v>
      </c>
      <c r="H15" s="9" t="s">
        <v>134</v>
      </c>
    </row>
    <row r="16" customFormat="false" ht="28.35" hidden="false" customHeight="false" outlineLevel="0" collapsed="false">
      <c r="A16" s="2" t="s">
        <v>131</v>
      </c>
      <c r="B16" s="2" t="s">
        <v>132</v>
      </c>
      <c r="C16" s="2" t="s">
        <v>120</v>
      </c>
      <c r="D16" s="2" t="s">
        <v>121</v>
      </c>
      <c r="E16" s="7"/>
      <c r="F16" s="8"/>
      <c r="G16" s="2" t="s">
        <v>136</v>
      </c>
      <c r="H16" s="9" t="s">
        <v>134</v>
      </c>
    </row>
    <row r="17" customFormat="false" ht="28.35" hidden="false" customHeight="false" outlineLevel="0" collapsed="false">
      <c r="A17" s="2" t="s">
        <v>131</v>
      </c>
      <c r="B17" s="2" t="s">
        <v>132</v>
      </c>
      <c r="C17" s="2" t="s">
        <v>122</v>
      </c>
      <c r="D17" s="2" t="s">
        <v>121</v>
      </c>
      <c r="E17" s="7"/>
      <c r="F17" s="8"/>
      <c r="G17" s="2" t="s">
        <v>137</v>
      </c>
      <c r="H17" s="9" t="s">
        <v>134</v>
      </c>
    </row>
    <row r="18" customFormat="false" ht="28.35" hidden="false" customHeight="false" outlineLevel="0" collapsed="false">
      <c r="A18" s="2" t="s">
        <v>131</v>
      </c>
      <c r="B18" s="2" t="s">
        <v>132</v>
      </c>
      <c r="C18" s="2" t="s">
        <v>124</v>
      </c>
      <c r="D18" s="2" t="s">
        <v>125</v>
      </c>
      <c r="E18" s="7"/>
      <c r="F18" s="8"/>
      <c r="G18" s="2" t="s">
        <v>138</v>
      </c>
      <c r="H18" s="9" t="s">
        <v>134</v>
      </c>
    </row>
    <row r="19" customFormat="false" ht="28.35" hidden="false" customHeight="false" outlineLevel="0" collapsed="false">
      <c r="A19" s="2" t="s">
        <v>131</v>
      </c>
      <c r="B19" s="2" t="s">
        <v>132</v>
      </c>
      <c r="C19" s="2" t="s">
        <v>127</v>
      </c>
      <c r="D19" s="2" t="s">
        <v>128</v>
      </c>
      <c r="E19" s="7"/>
      <c r="F19" s="8"/>
      <c r="G19" s="2" t="s">
        <v>139</v>
      </c>
      <c r="H19" s="9" t="s">
        <v>134</v>
      </c>
    </row>
    <row r="20" customFormat="false" ht="28.35" hidden="false" customHeight="false" outlineLevel="0" collapsed="false">
      <c r="A20" s="2" t="s">
        <v>131</v>
      </c>
      <c r="B20" s="2" t="s">
        <v>132</v>
      </c>
      <c r="C20" s="2" t="s">
        <v>129</v>
      </c>
      <c r="D20" s="2" t="s">
        <v>114</v>
      </c>
      <c r="E20" s="7"/>
      <c r="F20" s="8"/>
      <c r="G20" s="2" t="s">
        <v>140</v>
      </c>
      <c r="H20" s="9" t="s">
        <v>134</v>
      </c>
    </row>
    <row r="21" customFormat="false" ht="28.35" hidden="false" customHeight="false" outlineLevel="0" collapsed="false">
      <c r="A21" s="2" t="s">
        <v>131</v>
      </c>
      <c r="B21" s="2" t="s">
        <v>132</v>
      </c>
      <c r="C21" s="2" t="s">
        <v>130</v>
      </c>
      <c r="D21" s="2" t="s">
        <v>125</v>
      </c>
      <c r="E21" s="7"/>
      <c r="F21" s="8"/>
      <c r="G21" s="2" t="s">
        <v>141</v>
      </c>
      <c r="H21" s="9" t="s">
        <v>134</v>
      </c>
    </row>
    <row r="22" customFormat="false" ht="28.35" hidden="false" customHeight="false" outlineLevel="0" collapsed="false">
      <c r="A22" s="2" t="s">
        <v>142</v>
      </c>
      <c r="B22" s="2" t="s">
        <v>143</v>
      </c>
      <c r="C22" s="2" t="s">
        <v>113</v>
      </c>
      <c r="D22" s="2" t="s">
        <v>114</v>
      </c>
      <c r="E22" s="7"/>
      <c r="F22" s="8"/>
      <c r="G22" s="2" t="s">
        <v>144</v>
      </c>
      <c r="H22" s="9" t="s">
        <v>134</v>
      </c>
    </row>
    <row r="23" customFormat="false" ht="28.35" hidden="false" customHeight="false" outlineLevel="0" collapsed="false">
      <c r="A23" s="2" t="s">
        <v>142</v>
      </c>
      <c r="B23" s="2" t="s">
        <v>143</v>
      </c>
      <c r="C23" s="2" t="s">
        <v>115</v>
      </c>
      <c r="D23" s="2" t="s">
        <v>116</v>
      </c>
      <c r="E23" s="7"/>
      <c r="F23" s="8"/>
      <c r="G23" s="2" t="s">
        <v>145</v>
      </c>
      <c r="H23" s="9" t="s">
        <v>134</v>
      </c>
    </row>
    <row r="24" customFormat="false" ht="28.35" hidden="false" customHeight="false" outlineLevel="0" collapsed="false">
      <c r="A24" s="2" t="s">
        <v>142</v>
      </c>
      <c r="B24" s="2" t="s">
        <v>143</v>
      </c>
      <c r="C24" s="2" t="s">
        <v>118</v>
      </c>
      <c r="D24" s="2" t="s">
        <v>119</v>
      </c>
      <c r="E24" s="7"/>
      <c r="F24" s="8"/>
      <c r="G24" s="2" t="s">
        <v>144</v>
      </c>
      <c r="H24" s="9" t="s">
        <v>134</v>
      </c>
    </row>
    <row r="25" customFormat="false" ht="28.35" hidden="false" customHeight="false" outlineLevel="0" collapsed="false">
      <c r="A25" s="2" t="s">
        <v>142</v>
      </c>
      <c r="B25" s="2" t="s">
        <v>143</v>
      </c>
      <c r="C25" s="2" t="s">
        <v>120</v>
      </c>
      <c r="D25" s="2" t="s">
        <v>121</v>
      </c>
      <c r="E25" s="7"/>
      <c r="F25" s="8"/>
      <c r="G25" s="2" t="s">
        <v>146</v>
      </c>
      <c r="H25" s="9" t="s">
        <v>134</v>
      </c>
    </row>
    <row r="26" customFormat="false" ht="28.35" hidden="false" customHeight="false" outlineLevel="0" collapsed="false">
      <c r="A26" s="2" t="s">
        <v>142</v>
      </c>
      <c r="B26" s="2" t="s">
        <v>143</v>
      </c>
      <c r="C26" s="2" t="s">
        <v>122</v>
      </c>
      <c r="D26" s="2" t="s">
        <v>121</v>
      </c>
      <c r="E26" s="7"/>
      <c r="F26" s="8"/>
      <c r="G26" s="2" t="s">
        <v>147</v>
      </c>
      <c r="H26" s="9" t="s">
        <v>134</v>
      </c>
    </row>
    <row r="27" customFormat="false" ht="28.35" hidden="false" customHeight="false" outlineLevel="0" collapsed="false">
      <c r="A27" s="2" t="s">
        <v>142</v>
      </c>
      <c r="B27" s="2" t="s">
        <v>143</v>
      </c>
      <c r="C27" s="2" t="s">
        <v>124</v>
      </c>
      <c r="D27" s="2" t="s">
        <v>125</v>
      </c>
      <c r="E27" s="7"/>
      <c r="F27" s="8"/>
      <c r="G27" s="2" t="s">
        <v>148</v>
      </c>
      <c r="H27" s="9" t="s">
        <v>134</v>
      </c>
    </row>
    <row r="28" customFormat="false" ht="28.35" hidden="false" customHeight="false" outlineLevel="0" collapsed="false">
      <c r="A28" s="2" t="s">
        <v>142</v>
      </c>
      <c r="B28" s="2" t="s">
        <v>143</v>
      </c>
      <c r="C28" s="2" t="s">
        <v>127</v>
      </c>
      <c r="D28" s="2" t="s">
        <v>128</v>
      </c>
      <c r="E28" s="7"/>
      <c r="F28" s="8"/>
      <c r="G28" s="2" t="s">
        <v>149</v>
      </c>
      <c r="H28" s="9" t="s">
        <v>134</v>
      </c>
    </row>
    <row r="29" customFormat="false" ht="28.35" hidden="false" customHeight="false" outlineLevel="0" collapsed="false">
      <c r="A29" s="2" t="s">
        <v>142</v>
      </c>
      <c r="B29" s="2" t="s">
        <v>143</v>
      </c>
      <c r="C29" s="2" t="s">
        <v>129</v>
      </c>
      <c r="D29" s="2" t="s">
        <v>114</v>
      </c>
      <c r="E29" s="7"/>
      <c r="F29" s="8"/>
      <c r="G29" s="2" t="s">
        <v>150</v>
      </c>
      <c r="H29" s="9" t="s">
        <v>134</v>
      </c>
    </row>
    <row r="30" customFormat="false" ht="28.35" hidden="false" customHeight="false" outlineLevel="0" collapsed="false">
      <c r="A30" s="2" t="s">
        <v>142</v>
      </c>
      <c r="B30" s="2" t="s">
        <v>143</v>
      </c>
      <c r="C30" s="2" t="s">
        <v>130</v>
      </c>
      <c r="D30" s="2" t="s">
        <v>125</v>
      </c>
      <c r="E30" s="7"/>
      <c r="F30" s="8"/>
      <c r="G30" s="2" t="s">
        <v>151</v>
      </c>
      <c r="H30" s="9" t="s">
        <v>134</v>
      </c>
    </row>
    <row r="31" customFormat="false" ht="41.75" hidden="false" customHeight="false" outlineLevel="0" collapsed="false">
      <c r="A31" s="2" t="s">
        <v>10</v>
      </c>
      <c r="B31" s="2" t="s">
        <v>14</v>
      </c>
      <c r="C31" s="2" t="s">
        <v>152</v>
      </c>
      <c r="D31" s="2" t="s">
        <v>114</v>
      </c>
      <c r="E31" s="7" t="n">
        <v>0.0448</v>
      </c>
      <c r="F31" s="8" t="n">
        <f aca="false">E31*Assumptions!$B$15</f>
        <v>4.281088</v>
      </c>
      <c r="G31" s="2" t="s">
        <v>81</v>
      </c>
      <c r="H31" s="9" t="s">
        <v>70</v>
      </c>
    </row>
    <row r="32" customFormat="false" ht="41.75" hidden="false" customHeight="false" outlineLevel="0" collapsed="false">
      <c r="A32" s="2" t="s">
        <v>10</v>
      </c>
      <c r="B32" s="2" t="s">
        <v>14</v>
      </c>
      <c r="C32" s="2" t="s">
        <v>153</v>
      </c>
      <c r="D32" s="2" t="s">
        <v>114</v>
      </c>
      <c r="E32" s="7" t="n">
        <v>0.1792</v>
      </c>
      <c r="F32" s="8" t="n">
        <f aca="false">E32*Assumptions!$B$15</f>
        <v>17.124352</v>
      </c>
      <c r="G32" s="2" t="s">
        <v>81</v>
      </c>
      <c r="H32" s="9" t="s">
        <v>70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8.82"/>
    <col collapsed="false" customWidth="true" hidden="false" outlineLevel="0" max="2" min="2" style="0" width="31.97"/>
    <col collapsed="false" customWidth="true" hidden="false" outlineLevel="0" max="3" min="3" style="0" width="12.12"/>
    <col collapsed="false" customWidth="true" hidden="false" outlineLevel="0" max="4" min="4" style="0" width="16.53"/>
    <col collapsed="false" customWidth="true" hidden="false" outlineLevel="0" max="8" min="5" style="0" width="19.84"/>
    <col collapsed="false" customWidth="true" hidden="false" outlineLevel="0" max="9" min="9" style="0" width="14.33"/>
  </cols>
  <sheetData>
    <row r="1" customFormat="false" ht="27.75" hidden="false" customHeight="true" outlineLevel="0" collapsed="false">
      <c r="A1" s="10" t="s">
        <v>154</v>
      </c>
      <c r="B1" s="10"/>
      <c r="C1" s="10"/>
      <c r="D1" s="10"/>
      <c r="E1" s="10"/>
      <c r="F1" s="10"/>
      <c r="G1" s="10"/>
      <c r="H1" s="10"/>
    </row>
    <row r="3" customFormat="false" ht="15" hidden="false" customHeight="false" outlineLevel="0" collapsed="false">
      <c r="A3" s="3" t="s">
        <v>155</v>
      </c>
      <c r="B3" s="3" t="s">
        <v>156</v>
      </c>
      <c r="C3" s="3" t="s">
        <v>157</v>
      </c>
      <c r="D3" s="3" t="s">
        <v>158</v>
      </c>
      <c r="E3" s="3" t="s">
        <v>159</v>
      </c>
      <c r="F3" s="3" t="s">
        <v>160</v>
      </c>
      <c r="G3" s="3" t="s">
        <v>161</v>
      </c>
      <c r="H3" s="3" t="s">
        <v>162</v>
      </c>
      <c r="I3" s="3" t="s">
        <v>163</v>
      </c>
    </row>
    <row r="4" customFormat="false" ht="15" hidden="false" customHeight="false" outlineLevel="0" collapsed="false">
      <c r="A4" s="0" t="n">
        <v>1</v>
      </c>
      <c r="B4" s="0" t="s">
        <v>164</v>
      </c>
      <c r="C4" s="0" t="n">
        <v>20</v>
      </c>
      <c r="D4" s="0" t="s">
        <v>165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</row>
    <row r="5" customFormat="false" ht="15" hidden="false" customHeight="false" outlineLevel="0" collapsed="false">
      <c r="A5" s="0" t="n">
        <v>2</v>
      </c>
      <c r="B5" s="0" t="s">
        <v>166</v>
      </c>
      <c r="C5" s="0" t="n">
        <v>20</v>
      </c>
      <c r="D5" s="0" t="s">
        <v>167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</row>
    <row r="6" customFormat="false" ht="15" hidden="false" customHeight="false" outlineLevel="0" collapsed="false">
      <c r="A6" s="0" t="n">
        <v>3</v>
      </c>
      <c r="B6" s="0" t="s">
        <v>168</v>
      </c>
      <c r="C6" s="0" t="n">
        <v>20</v>
      </c>
      <c r="D6" s="0" t="s">
        <v>167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</row>
    <row r="7" customFormat="false" ht="15" hidden="false" customHeight="false" outlineLevel="0" collapsed="false">
      <c r="A7" s="0" t="n">
        <v>4</v>
      </c>
      <c r="B7" s="0" t="s">
        <v>169</v>
      </c>
      <c r="C7" s="0" t="n">
        <v>20</v>
      </c>
      <c r="D7" s="0" t="s">
        <v>167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</row>
    <row r="8" customFormat="false" ht="15" hidden="false" customHeight="false" outlineLevel="0" collapsed="false">
      <c r="A8" s="0" t="n">
        <v>5</v>
      </c>
      <c r="B8" s="0" t="s">
        <v>170</v>
      </c>
      <c r="C8" s="0" t="n">
        <v>20</v>
      </c>
      <c r="D8" s="0" t="s">
        <v>167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</row>
    <row r="9" customFormat="false" ht="15" hidden="false" customHeight="false" outlineLevel="0" collapsed="false">
      <c r="A9" s="0" t="n">
        <v>6</v>
      </c>
      <c r="B9" s="0" t="s">
        <v>171</v>
      </c>
      <c r="C9" s="0" t="n">
        <v>20</v>
      </c>
      <c r="D9" s="0" t="s">
        <v>167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</row>
    <row r="10" customFormat="false" ht="15" hidden="false" customHeight="false" outlineLevel="0" collapsed="false">
      <c r="A10" s="0" t="n">
        <v>7</v>
      </c>
      <c r="B10" s="0" t="s">
        <v>172</v>
      </c>
      <c r="C10" s="0" t="n">
        <v>20</v>
      </c>
      <c r="D10" s="0" t="s">
        <v>165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</row>
    <row r="11" customFormat="false" ht="15" hidden="false" customHeight="false" outlineLevel="0" collapsed="false">
      <c r="A11" s="0" t="n">
        <v>8</v>
      </c>
      <c r="B11" s="0" t="s">
        <v>173</v>
      </c>
      <c r="C11" s="0" t="n">
        <v>20</v>
      </c>
      <c r="D11" s="0" t="s">
        <v>165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</row>
    <row r="12" customFormat="false" ht="15" hidden="false" customHeight="false" outlineLevel="0" collapsed="false">
      <c r="A12" s="0" t="n">
        <v>9</v>
      </c>
      <c r="B12" s="0" t="s">
        <v>174</v>
      </c>
      <c r="C12" s="0" t="n">
        <v>20</v>
      </c>
      <c r="D12" s="0" t="s">
        <v>167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</row>
    <row r="13" customFormat="false" ht="15" hidden="false" customHeight="false" outlineLevel="0" collapsed="false">
      <c r="A13" s="0" t="n">
        <v>10</v>
      </c>
      <c r="B13" s="0" t="s">
        <v>175</v>
      </c>
      <c r="C13" s="0" t="n">
        <v>20</v>
      </c>
      <c r="D13" s="0" t="s">
        <v>165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</row>
    <row r="14" customFormat="false" ht="15" hidden="false" customHeight="false" outlineLevel="0" collapsed="false">
      <c r="A14" s="0" t="n">
        <v>11</v>
      </c>
      <c r="B14" s="0" t="s">
        <v>176</v>
      </c>
      <c r="C14" s="0" t="n">
        <v>20</v>
      </c>
      <c r="D14" s="0" t="s">
        <v>165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</row>
    <row r="15" customFormat="false" ht="15" hidden="false" customHeight="false" outlineLevel="0" collapsed="false">
      <c r="A15" s="0" t="n">
        <v>12</v>
      </c>
      <c r="B15" s="0" t="s">
        <v>177</v>
      </c>
      <c r="C15" s="0" t="n">
        <v>20</v>
      </c>
      <c r="D15" s="0" t="s">
        <v>165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</row>
    <row r="16" customFormat="false" ht="15" hidden="false" customHeight="false" outlineLevel="0" collapsed="false">
      <c r="A16" s="0" t="n">
        <v>13</v>
      </c>
      <c r="B16" s="0" t="s">
        <v>178</v>
      </c>
      <c r="C16" s="0" t="n">
        <v>20</v>
      </c>
      <c r="D16" s="0" t="s">
        <v>165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</row>
    <row r="17" customFormat="false" ht="15" hidden="false" customHeight="false" outlineLevel="0" collapsed="false">
      <c r="A17" s="0" t="n">
        <v>14</v>
      </c>
      <c r="B17" s="0" t="s">
        <v>179</v>
      </c>
      <c r="C17" s="0" t="n">
        <v>20</v>
      </c>
      <c r="D17" s="0" t="s">
        <v>165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</row>
    <row r="18" customFormat="false" ht="15" hidden="false" customHeight="false" outlineLevel="0" collapsed="false">
      <c r="A18" s="0" t="n">
        <v>15</v>
      </c>
      <c r="B18" s="0" t="s">
        <v>180</v>
      </c>
      <c r="C18" s="0" t="n">
        <v>20</v>
      </c>
      <c r="D18" s="0" t="s">
        <v>165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</row>
    <row r="19" customFormat="false" ht="15" hidden="false" customHeight="false" outlineLevel="0" collapsed="false">
      <c r="A19" s="0" t="n">
        <v>16</v>
      </c>
      <c r="B19" s="0" t="s">
        <v>181</v>
      </c>
      <c r="C19" s="0" t="n">
        <v>20</v>
      </c>
      <c r="D19" s="0" t="s">
        <v>165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</row>
    <row r="20" customFormat="false" ht="15" hidden="false" customHeight="false" outlineLevel="0" collapsed="false">
      <c r="A20" s="0" t="n">
        <v>17</v>
      </c>
      <c r="B20" s="0" t="s">
        <v>182</v>
      </c>
      <c r="C20" s="0" t="n">
        <v>20</v>
      </c>
      <c r="D20" s="0" t="s">
        <v>167</v>
      </c>
      <c r="E20" s="0" t="n">
        <v>0</v>
      </c>
      <c r="F20" s="0" t="n">
        <v>0</v>
      </c>
      <c r="G20" s="0" t="n">
        <v>0</v>
      </c>
      <c r="H20" s="0" t="n">
        <v>10</v>
      </c>
      <c r="I20" s="0" t="n">
        <v>1</v>
      </c>
    </row>
    <row r="21" customFormat="false" ht="15" hidden="false" customHeight="false" outlineLevel="0" collapsed="false">
      <c r="A21" s="0" t="n">
        <v>18</v>
      </c>
      <c r="B21" s="0" t="s">
        <v>183</v>
      </c>
      <c r="C21" s="0" t="n">
        <v>20</v>
      </c>
      <c r="D21" s="0" t="s">
        <v>165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1</v>
      </c>
    </row>
    <row r="22" customFormat="false" ht="15" hidden="false" customHeight="false" outlineLevel="0" collapsed="false">
      <c r="A22" s="0" t="n">
        <v>19</v>
      </c>
      <c r="B22" s="0" t="s">
        <v>184</v>
      </c>
      <c r="C22" s="0" t="n">
        <v>20</v>
      </c>
      <c r="D22" s="0" t="s">
        <v>167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</row>
    <row r="23" customFormat="false" ht="15" hidden="false" customHeight="false" outlineLevel="0" collapsed="false">
      <c r="A23" s="0" t="n">
        <v>20</v>
      </c>
      <c r="B23" s="0" t="s">
        <v>185</v>
      </c>
      <c r="C23" s="0" t="n">
        <v>20</v>
      </c>
      <c r="D23" s="0" t="s">
        <v>165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</row>
    <row r="25" customFormat="false" ht="15" hidden="false" customHeight="false" outlineLevel="0" collapsed="false">
      <c r="A25" s="11" t="s">
        <v>186</v>
      </c>
      <c r="B25" s="11"/>
      <c r="C25" s="11"/>
      <c r="D25" s="11"/>
      <c r="E25" s="11"/>
      <c r="F25" s="11"/>
      <c r="G25" s="11"/>
      <c r="H25" s="11"/>
      <c r="I25" s="11"/>
    </row>
    <row r="26" customFormat="false" ht="15" hidden="false" customHeight="true" outlineLevel="0" collapsed="false">
      <c r="A26" s="12" t="s">
        <v>187</v>
      </c>
      <c r="B26" s="12"/>
      <c r="C26" s="12"/>
      <c r="D26" s="12"/>
      <c r="E26" s="12"/>
      <c r="F26" s="12"/>
      <c r="G26" s="12"/>
      <c r="H26" s="12"/>
      <c r="I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</row>
  </sheetData>
  <mergeCells count="3">
    <mergeCell ref="A1:H1"/>
    <mergeCell ref="A25:I25"/>
    <mergeCell ref="A26:I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30.86"/>
    <col collapsed="false" customWidth="true" hidden="false" outlineLevel="0" max="2" min="2" style="0" width="13.23"/>
    <col collapsed="false" customWidth="true" hidden="false" outlineLevel="0" max="3" min="3" style="0" width="22.05"/>
    <col collapsed="false" customWidth="true" hidden="false" outlineLevel="0" max="4" min="4" style="0" width="16.53"/>
    <col collapsed="false" customWidth="true" hidden="false" outlineLevel="0" max="5" min="5" style="0" width="18.74"/>
    <col collapsed="false" customWidth="true" hidden="false" outlineLevel="0" max="6" min="6" style="0" width="15.43"/>
    <col collapsed="false" customWidth="true" hidden="false" outlineLevel="0" max="7" min="7" style="0" width="37.48"/>
    <col collapsed="false" customWidth="true" hidden="false" outlineLevel="0" max="10" min="8" style="0" width="17.64"/>
  </cols>
  <sheetData>
    <row r="1" customFormat="false" ht="27.75" hidden="false" customHeight="true" outlineLevel="0" collapsed="false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107</v>
      </c>
      <c r="B3" s="3" t="s">
        <v>189</v>
      </c>
      <c r="C3" s="3" t="s">
        <v>108</v>
      </c>
      <c r="D3" s="3" t="s">
        <v>190</v>
      </c>
      <c r="E3" s="3" t="s">
        <v>191</v>
      </c>
      <c r="F3" s="3" t="s">
        <v>192</v>
      </c>
      <c r="G3" s="3" t="s">
        <v>193</v>
      </c>
      <c r="H3" s="3" t="s">
        <v>194</v>
      </c>
      <c r="I3" s="3" t="s">
        <v>106</v>
      </c>
      <c r="J3" s="3" t="s">
        <v>13</v>
      </c>
    </row>
    <row r="4" customFormat="false" ht="28.35" hidden="false" customHeight="false" outlineLevel="0" collapsed="false">
      <c r="A4" s="2" t="s">
        <v>195</v>
      </c>
      <c r="B4" s="2" t="n">
        <f aca="false">SUMPRODUCT('TOC Mapping'!$C$4:$C$23,'TOC Mapping'!$I$4:$I$23)</f>
        <v>400</v>
      </c>
      <c r="C4" s="2" t="s">
        <v>114</v>
      </c>
      <c r="D4" s="8" t="n">
        <f aca="false">SUMIFS('Rate Card'!$F$4:$F$30,'Rate Card'!$A$4:$A$30,I4,'Rate Card'!$B$4:$B$30,J4,'Rate Card'!$C$4:$C$30,A4)</f>
        <v>0</v>
      </c>
      <c r="E4" s="2" t="s">
        <v>196</v>
      </c>
      <c r="F4" s="13" t="n">
        <f aca="false">Assumptions!$B$7</f>
        <v>3</v>
      </c>
      <c r="G4" s="2" t="s">
        <v>197</v>
      </c>
      <c r="H4" s="14" t="n">
        <f aca="false">(SUMPRODUCT('TOC Mapping'!$C$4:$C$23,'TOC Mapping'!$I$4:$I$23,--('TOC Mapping'!$D$4:$D$23="Light"))*'Rate Card'!$F$31+SUMPRODUCT('TOC Mapping'!$C$4:$C$23,'TOC Mapping'!$I$4:$I$23,--('TOC Mapping'!$D$4:$D$23="Heavy"))*'Rate Card'!$F$32)*Assumptions!$B$7</f>
        <v>14384.45568</v>
      </c>
      <c r="I4" s="13" t="str">
        <f aca="false">Assumptions!$B$5</f>
        <v>AWS</v>
      </c>
      <c r="J4" s="13" t="str">
        <f aca="false">Assumptions!$B$6</f>
        <v>Mumbai</v>
      </c>
    </row>
    <row r="5" customFormat="false" ht="15" hidden="false" customHeight="false" outlineLevel="0" collapsed="false">
      <c r="A5" s="2" t="s">
        <v>115</v>
      </c>
      <c r="B5" s="2" t="n">
        <f aca="false">SUMPRODUCT('TOC Mapping'!$E$4:$E$23,'TOC Mapping'!$I$4:$I$23)</f>
        <v>1</v>
      </c>
      <c r="C5" s="2" t="s">
        <v>116</v>
      </c>
      <c r="D5" s="8" t="n">
        <f aca="false">SUMIFS('Rate Card'!$F$4:$F$30,'Rate Card'!$A$4:$A$30,I5,'Rate Card'!$B$4:$B$30,J5,'Rate Card'!$C$4:$C$30,A5)</f>
        <v>9.556</v>
      </c>
      <c r="E5" s="2" t="s">
        <v>196</v>
      </c>
      <c r="F5" s="13" t="n">
        <f aca="false">Assumptions!$B$7</f>
        <v>3</v>
      </c>
      <c r="G5" s="2" t="s">
        <v>198</v>
      </c>
      <c r="H5" s="14" t="n">
        <f aca="false">B5*D5*F5</f>
        <v>28.668</v>
      </c>
      <c r="I5" s="13" t="str">
        <f aca="false">Assumptions!$B$5</f>
        <v>AWS</v>
      </c>
      <c r="J5" s="13" t="str">
        <f aca="false">Assumptions!$B$6</f>
        <v>Mumbai</v>
      </c>
    </row>
    <row r="6" customFormat="false" ht="15" hidden="false" customHeight="false" outlineLevel="0" collapsed="false">
      <c r="A6" s="2" t="s">
        <v>118</v>
      </c>
      <c r="B6" s="13" t="n">
        <f aca="false">SUMPRODUCT('TOC Mapping'!$F$4:$F$23,'TOC Mapping'!$I$4:$I$23)</f>
        <v>1</v>
      </c>
      <c r="C6" s="2" t="s">
        <v>119</v>
      </c>
      <c r="D6" s="8" t="n">
        <f aca="false">SUMIFS('Rate Card'!$F$4:$F$30,'Rate Card'!$A$4:$A$30,I6,'Rate Card'!$B$4:$B$30,J6,'Rate Card'!$C$4:$C$30,A6)</f>
        <v>17.124352</v>
      </c>
      <c r="E6" s="2" t="s">
        <v>196</v>
      </c>
      <c r="F6" s="13" t="n">
        <f aca="false">Assumptions!$B$7</f>
        <v>3</v>
      </c>
      <c r="G6" s="2" t="s">
        <v>198</v>
      </c>
      <c r="H6" s="14" t="n">
        <f aca="false">B6*D6*F6</f>
        <v>51.373056</v>
      </c>
      <c r="I6" s="13" t="str">
        <f aca="false">Assumptions!$B$5</f>
        <v>AWS</v>
      </c>
      <c r="J6" s="13" t="str">
        <f aca="false">Assumptions!$B$6</f>
        <v>Mumbai</v>
      </c>
    </row>
    <row r="7" customFormat="false" ht="15" hidden="false" customHeight="false" outlineLevel="0" collapsed="false">
      <c r="A7" s="2" t="s">
        <v>120</v>
      </c>
      <c r="B7" s="2" t="n">
        <f aca="false">SUMPRODUCT(('TOC Mapping'!$C$4:$C$23+'TOC Mapping'!$F$4:$F$23),'TOC Mapping'!$I$4:$I$23)*Assumptions!$B$20</f>
        <v>8020</v>
      </c>
      <c r="C7" s="2" t="s">
        <v>121</v>
      </c>
      <c r="D7" s="8" t="n">
        <f aca="false">SUMIFS('Rate Card'!$F$4:$F$30,'Rate Card'!$A$4:$A$30,I7,'Rate Card'!$B$4:$B$30,J7,'Rate Card'!$C$4:$C$30,A7)</f>
        <v>8.715072</v>
      </c>
      <c r="E7" s="2" t="s">
        <v>199</v>
      </c>
      <c r="F7" s="13" t="n">
        <v>1</v>
      </c>
      <c r="G7" s="2" t="s">
        <v>200</v>
      </c>
      <c r="H7" s="14" t="n">
        <f aca="false">B7*D7/30</f>
        <v>2329.829248</v>
      </c>
      <c r="I7" s="13" t="str">
        <f aca="false">Assumptions!$B$5</f>
        <v>AWS</v>
      </c>
      <c r="J7" s="13" t="str">
        <f aca="false">Assumptions!$B$6</f>
        <v>Mumbai</v>
      </c>
    </row>
    <row r="8" customFormat="false" ht="15" hidden="false" customHeight="false" outlineLevel="0" collapsed="false">
      <c r="A8" s="2" t="s">
        <v>122</v>
      </c>
      <c r="B8" s="13" t="n">
        <f aca="false">SUMPRODUCT('TOC Mapping'!$H$4:$H$23,'TOC Mapping'!$I$4:$I$23)</f>
        <v>10</v>
      </c>
      <c r="C8" s="2" t="s">
        <v>121</v>
      </c>
      <c r="D8" s="8" t="n">
        <f aca="false">SUMIFS('Rate Card'!$F$4:$F$30,'Rate Card'!$A$4:$A$30,I8,'Rate Card'!$B$4:$B$30,J8,'Rate Card'!$C$4:$C$30,A8)</f>
        <v>2.389</v>
      </c>
      <c r="E8" s="2" t="s">
        <v>199</v>
      </c>
      <c r="F8" s="13" t="n">
        <v>1</v>
      </c>
      <c r="G8" s="2" t="s">
        <v>201</v>
      </c>
      <c r="H8" s="14" t="n">
        <f aca="false">B8*D8/30</f>
        <v>0.796333333333333</v>
      </c>
      <c r="I8" s="13" t="str">
        <f aca="false">Assumptions!$B$5</f>
        <v>AWS</v>
      </c>
      <c r="J8" s="13" t="str">
        <f aca="false">Assumptions!$B$6</f>
        <v>Mumbai</v>
      </c>
    </row>
    <row r="9" customFormat="false" ht="15" hidden="false" customHeight="false" outlineLevel="0" collapsed="false">
      <c r="A9" s="2" t="s">
        <v>124</v>
      </c>
      <c r="B9" s="13" t="n">
        <f aca="false">Assumptions!B11</f>
        <v>0</v>
      </c>
      <c r="C9" s="2" t="s">
        <v>125</v>
      </c>
      <c r="D9" s="8" t="n">
        <f aca="false">SUMIFS('Rate Card'!$F$4:$F$30,'Rate Card'!$A$4:$A$30,I9,'Rate Card'!$B$4:$B$30,J9,'Rate Card'!$C$4:$C$30,A9)</f>
        <v>0</v>
      </c>
      <c r="E9" s="2" t="s">
        <v>202</v>
      </c>
      <c r="F9" s="2" t="n">
        <v>1</v>
      </c>
      <c r="G9" s="2" t="s">
        <v>203</v>
      </c>
      <c r="H9" s="14" t="n">
        <f aca="false">B9*D9</f>
        <v>0</v>
      </c>
      <c r="I9" s="13" t="str">
        <f aca="false">Assumptions!$B$5</f>
        <v>AWS</v>
      </c>
      <c r="J9" s="13" t="str">
        <f aca="false">Assumptions!$B$6</f>
        <v>Mumbai</v>
      </c>
    </row>
    <row r="10" customFormat="false" ht="15" hidden="false" customHeight="false" outlineLevel="0" collapsed="false">
      <c r="A10" s="2" t="s">
        <v>127</v>
      </c>
      <c r="B10" s="13" t="n">
        <f aca="false">Assumptions!B12</f>
        <v>0</v>
      </c>
      <c r="C10" s="2" t="s">
        <v>128</v>
      </c>
      <c r="D10" s="8" t="n">
        <f aca="false">SUMIFS('Rate Card'!$F$4:$F$30,'Rate Card'!$A$4:$A$30,I10,'Rate Card'!$B$4:$B$30,J10,'Rate Card'!$C$4:$C$30,A10)</f>
        <v>0</v>
      </c>
      <c r="E10" s="2" t="s">
        <v>202</v>
      </c>
      <c r="F10" s="2" t="n">
        <v>1</v>
      </c>
      <c r="G10" s="2" t="s">
        <v>204</v>
      </c>
      <c r="H10" s="14" t="n">
        <f aca="false">B10*D10</f>
        <v>0</v>
      </c>
      <c r="I10" s="13" t="str">
        <f aca="false">Assumptions!$B$5</f>
        <v>AWS</v>
      </c>
      <c r="J10" s="13" t="str">
        <f aca="false">Assumptions!$B$6</f>
        <v>Mumbai</v>
      </c>
    </row>
    <row r="11" customFormat="false" ht="15" hidden="false" customHeight="false" outlineLevel="0" collapsed="false">
      <c r="A11" s="2" t="s">
        <v>129</v>
      </c>
      <c r="B11" s="2" t="n">
        <f aca="false">SUMPRODUCT('TOC Mapping'!$G$4:$G$23,'TOC Mapping'!$I$4:$I$23)</f>
        <v>0</v>
      </c>
      <c r="C11" s="2" t="s">
        <v>114</v>
      </c>
      <c r="D11" s="8" t="n">
        <f aca="false">SUMIFS('Rate Card'!$F$4:$F$30,'Rate Card'!$A$4:$A$30,I11,'Rate Card'!$B$4:$B$30,J11,'Rate Card'!$C$4:$C$30,A11)</f>
        <v>0</v>
      </c>
      <c r="E11" s="2" t="s">
        <v>196</v>
      </c>
      <c r="F11" s="13" t="n">
        <f aca="false">Assumptions!$B$7</f>
        <v>3</v>
      </c>
      <c r="G11" s="2" t="s">
        <v>198</v>
      </c>
      <c r="H11" s="14" t="n">
        <f aca="false">B11*D11*F11</f>
        <v>0</v>
      </c>
      <c r="I11" s="13" t="str">
        <f aca="false">Assumptions!$B$5</f>
        <v>AWS</v>
      </c>
      <c r="J11" s="13" t="str">
        <f aca="false">Assumptions!$B$6</f>
        <v>Mumbai</v>
      </c>
    </row>
    <row r="12" customFormat="false" ht="15" hidden="false" customHeight="false" outlineLevel="0" collapsed="false">
      <c r="A12" s="2" t="s">
        <v>130</v>
      </c>
      <c r="B12" s="13" t="n">
        <f aca="false">Assumptions!B13</f>
        <v>0</v>
      </c>
      <c r="C12" s="2" t="s">
        <v>125</v>
      </c>
      <c r="D12" s="8" t="n">
        <f aca="false">SUMIFS('Rate Card'!$F$4:$F$30,'Rate Card'!$A$4:$A$30,I12,'Rate Card'!$B$4:$B$30,J12,'Rate Card'!$C$4:$C$30,A12)</f>
        <v>0</v>
      </c>
      <c r="E12" s="2" t="s">
        <v>202</v>
      </c>
      <c r="F12" s="2" t="n">
        <v>1</v>
      </c>
      <c r="G12" s="2" t="s">
        <v>203</v>
      </c>
      <c r="H12" s="14" t="n">
        <f aca="false">B12*D12</f>
        <v>0</v>
      </c>
      <c r="I12" s="13" t="str">
        <f aca="false">Assumptions!$B$5</f>
        <v>AWS</v>
      </c>
      <c r="J12" s="13" t="str">
        <f aca="false">Assumptions!$B$6</f>
        <v>Mumbai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15"/>
      <c r="I13" s="2"/>
      <c r="J13" s="2"/>
    </row>
    <row r="14" customFormat="false" ht="15" hidden="false" customHeight="true" outlineLevel="0" collapsed="false">
      <c r="A14" s="16" t="s">
        <v>205</v>
      </c>
      <c r="B14" s="16"/>
      <c r="C14" s="16"/>
      <c r="D14" s="16"/>
      <c r="E14" s="16"/>
      <c r="F14" s="16"/>
      <c r="G14" s="16"/>
      <c r="H14" s="17" t="n">
        <f aca="false">SUM(H4:H12)</f>
        <v>16795.1223173333</v>
      </c>
      <c r="I14" s="2"/>
      <c r="J14" s="2"/>
    </row>
  </sheetData>
  <mergeCells count="2">
    <mergeCell ref="A1:J1"/>
    <mergeCell ref="A14:G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34.17"/>
    <col collapsed="false" customWidth="true" hidden="false" outlineLevel="0" max="4" min="2" style="0" width="19.84"/>
  </cols>
  <sheetData>
    <row r="1" customFormat="false" ht="27.75" hidden="false" customHeight="true" outlineLevel="0" collapsed="false">
      <c r="A1" s="1" t="s">
        <v>206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true" outlineLevel="0" collapsed="false">
      <c r="A3" s="16" t="s">
        <v>207</v>
      </c>
      <c r="B3" s="16"/>
      <c r="C3" s="16"/>
      <c r="D3" s="16"/>
    </row>
    <row r="4" customFormat="false" ht="15" hidden="false" customHeight="false" outlineLevel="0" collapsed="false">
      <c r="A4" s="4" t="s">
        <v>5</v>
      </c>
      <c r="B4" s="13" t="str">
        <f aca="false">Assumptions!B4</f>
        <v>DevOps Mastery</v>
      </c>
      <c r="C4" s="13"/>
      <c r="D4" s="13"/>
    </row>
    <row r="5" customFormat="false" ht="15" hidden="false" customHeight="false" outlineLevel="0" collapsed="false">
      <c r="A5" s="4" t="s">
        <v>208</v>
      </c>
      <c r="B5" s="13" t="str">
        <f aca="false">Assumptions!B5&amp;" – "&amp;Assumptions!B6</f>
        <v>AWS – Mumbai</v>
      </c>
      <c r="C5" s="13"/>
      <c r="D5" s="13"/>
    </row>
    <row r="6" customFormat="false" ht="15" hidden="false" customHeight="false" outlineLevel="0" collapsed="false">
      <c r="A6" s="4" t="s">
        <v>209</v>
      </c>
      <c r="B6" s="13" t="n">
        <f aca="false">Assumptions!B9</f>
        <v>20</v>
      </c>
      <c r="C6" s="13"/>
      <c r="D6" s="13"/>
    </row>
    <row r="7" customFormat="false" ht="15" hidden="false" customHeight="false" outlineLevel="0" collapsed="false">
      <c r="A7" s="4" t="s">
        <v>210</v>
      </c>
      <c r="B7" s="13" t="str">
        <f aca="false">Assumptions!B8&amp;" days × "&amp;Assumptions!B7&amp;" hours/day"</f>
        <v>20 days × 3 hours/day</v>
      </c>
      <c r="C7" s="13"/>
      <c r="D7" s="13"/>
    </row>
    <row r="8" customFormat="false" ht="15" hidden="false" customHeight="false" outlineLevel="0" collapsed="false">
      <c r="A8" s="4" t="s">
        <v>211</v>
      </c>
      <c r="B8" s="8" t="n">
        <f aca="false">'Resource Cost Breakdown'!H14</f>
        <v>16795.1223173333</v>
      </c>
      <c r="C8" s="8"/>
      <c r="D8" s="8"/>
    </row>
    <row r="9" customFormat="false" ht="15" hidden="false" customHeight="false" outlineLevel="0" collapsed="false">
      <c r="A9" s="4" t="s">
        <v>212</v>
      </c>
      <c r="B9" s="8" t="n">
        <f aca="false">Assumptions!B21*Assumptions!B9*Assumptions!B8</f>
        <v>0</v>
      </c>
      <c r="C9" s="8"/>
      <c r="D9" s="8"/>
    </row>
    <row r="10" customFormat="false" ht="15" hidden="false" customHeight="false" outlineLevel="0" collapsed="false">
      <c r="A10" s="4" t="s">
        <v>213</v>
      </c>
      <c r="B10" s="8" t="n">
        <f aca="false">(B8+B9)*Assumptions!B16</f>
        <v>1679.51223173333</v>
      </c>
      <c r="C10" s="8"/>
      <c r="D10" s="8"/>
    </row>
    <row r="11" customFormat="false" ht="15" hidden="false" customHeight="false" outlineLevel="0" collapsed="false">
      <c r="A11" s="4" t="s">
        <v>214</v>
      </c>
      <c r="B11" s="8" t="n">
        <f aca="false">(B8+B9+B10)*Assumptions!B17</f>
        <v>3325.434218832</v>
      </c>
      <c r="C11" s="8"/>
      <c r="D11" s="8"/>
    </row>
    <row r="12" customFormat="false" ht="15" hidden="false" customHeight="false" outlineLevel="0" collapsed="false">
      <c r="A12" s="18" t="s">
        <v>215</v>
      </c>
      <c r="B12" s="19" t="n">
        <f aca="false">B8+B9+B10+B11</f>
        <v>21800.0687678987</v>
      </c>
      <c r="C12" s="19"/>
      <c r="D12" s="19"/>
    </row>
    <row r="13" customFormat="false" ht="15" hidden="false" customHeight="false" outlineLevel="0" collapsed="false">
      <c r="A13" s="18" t="s">
        <v>216</v>
      </c>
      <c r="B13" s="19" t="n">
        <f aca="false">B12/Assumptions!B9</f>
        <v>1090.00343839493</v>
      </c>
      <c r="C13" s="19"/>
      <c r="D13" s="19"/>
    </row>
    <row r="14" customFormat="false" ht="15" hidden="false" customHeight="false" outlineLevel="0" collapsed="false">
      <c r="A14" s="4" t="s">
        <v>51</v>
      </c>
      <c r="B14" s="13" t="str">
        <f aca="false">Assumptions!B19&amp;" days from quote date"</f>
        <v>7 days from quote date</v>
      </c>
      <c r="C14" s="13"/>
      <c r="D14" s="13"/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true" outlineLevel="0" collapsed="false">
      <c r="A16" s="16" t="s">
        <v>217</v>
      </c>
      <c r="B16" s="16"/>
      <c r="C16" s="16"/>
      <c r="D16" s="16"/>
    </row>
    <row r="17" customFormat="false" ht="15" hidden="false" customHeight="true" outlineLevel="0" collapsed="false">
      <c r="A17" s="12" t="s">
        <v>218</v>
      </c>
      <c r="B17" s="12"/>
      <c r="C17" s="12"/>
      <c r="D17" s="12"/>
    </row>
    <row r="18" customFormat="false" ht="15" hidden="false" customHeight="false" outlineLevel="0" collapsed="false">
      <c r="A18" s="12"/>
      <c r="B18" s="12"/>
      <c r="C18" s="12"/>
      <c r="D18" s="12"/>
    </row>
    <row r="19" customFormat="false" ht="15" hidden="false" customHeight="false" outlineLevel="0" collapsed="false">
      <c r="A19" s="12"/>
      <c r="B19" s="12"/>
      <c r="C19" s="12"/>
      <c r="D19" s="12"/>
    </row>
  </sheetData>
  <mergeCells count="15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16:D16"/>
    <mergeCell ref="A17:D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6" min="1" style="0" width="28.66"/>
    <col collapsed="false" customWidth="true" hidden="false" outlineLevel="0" max="7" min="7" style="0" width="71.65"/>
    <col collapsed="false" customWidth="true" hidden="false" outlineLevel="0" max="11" min="8" style="0" width="28.66"/>
  </cols>
  <sheetData>
    <row r="1" customFormat="false" ht="15" hidden="false" customHeight="false" outlineLevel="0" collapsed="false">
      <c r="A1" s="20" t="s">
        <v>107</v>
      </c>
      <c r="B1" s="20" t="s">
        <v>219</v>
      </c>
      <c r="C1" s="20" t="s">
        <v>220</v>
      </c>
      <c r="D1" s="20" t="s">
        <v>221</v>
      </c>
      <c r="E1" s="20" t="s">
        <v>109</v>
      </c>
      <c r="F1" s="20" t="s">
        <v>13</v>
      </c>
      <c r="G1" s="20" t="s">
        <v>222</v>
      </c>
      <c r="H1" s="20" t="s">
        <v>223</v>
      </c>
      <c r="I1" s="20" t="s">
        <v>224</v>
      </c>
      <c r="J1" s="20" t="s">
        <v>225</v>
      </c>
      <c r="K1" s="20" t="s">
        <v>226</v>
      </c>
    </row>
    <row r="2" customFormat="false" ht="15" hidden="false" customHeight="false" outlineLevel="0" collapsed="false">
      <c r="A2" s="0" t="s">
        <v>113</v>
      </c>
      <c r="B2" s="0" t="s">
        <v>227</v>
      </c>
      <c r="C2" s="0" t="s">
        <v>228</v>
      </c>
      <c r="D2" s="0" t="s">
        <v>229</v>
      </c>
      <c r="E2" s="0" t="n">
        <v>0.0448</v>
      </c>
      <c r="F2" s="0" t="s">
        <v>14</v>
      </c>
      <c r="G2" s="0" t="s">
        <v>81</v>
      </c>
      <c r="H2" s="0" t="s">
        <v>70</v>
      </c>
      <c r="I2" s="0" t="n">
        <v>0.0448</v>
      </c>
      <c r="J2" s="0" t="n">
        <v>0</v>
      </c>
      <c r="K2" s="0" t="s">
        <v>230</v>
      </c>
    </row>
    <row r="3" customFormat="false" ht="15" hidden="false" customHeight="false" outlineLevel="0" collapsed="false">
      <c r="A3" s="0" t="s">
        <v>152</v>
      </c>
      <c r="B3" s="0" t="s">
        <v>227</v>
      </c>
      <c r="C3" s="0" t="s">
        <v>228</v>
      </c>
      <c r="D3" s="0" t="s">
        <v>229</v>
      </c>
      <c r="E3" s="0" t="n">
        <v>0.0448</v>
      </c>
      <c r="F3" s="0" t="s">
        <v>14</v>
      </c>
      <c r="G3" s="0" t="s">
        <v>81</v>
      </c>
      <c r="H3" s="0" t="s">
        <v>70</v>
      </c>
      <c r="I3" s="0" t="n">
        <v>0.0448</v>
      </c>
      <c r="J3" s="0" t="n">
        <v>0</v>
      </c>
      <c r="K3" s="0" t="s">
        <v>230</v>
      </c>
    </row>
    <row r="4" customFormat="false" ht="15" hidden="false" customHeight="false" outlineLevel="0" collapsed="false">
      <c r="A4" s="0" t="s">
        <v>153</v>
      </c>
      <c r="B4" s="0" t="s">
        <v>231</v>
      </c>
      <c r="C4" s="0" t="s">
        <v>232</v>
      </c>
      <c r="D4" s="0" t="s">
        <v>229</v>
      </c>
      <c r="E4" s="0" t="n">
        <v>0.1792</v>
      </c>
      <c r="F4" s="0" t="s">
        <v>14</v>
      </c>
      <c r="G4" s="0" t="s">
        <v>81</v>
      </c>
      <c r="H4" s="0" t="s">
        <v>70</v>
      </c>
      <c r="I4" s="0" t="n">
        <v>0.1792</v>
      </c>
      <c r="J4" s="0" t="n">
        <v>0</v>
      </c>
      <c r="K4" s="0" t="s">
        <v>230</v>
      </c>
    </row>
    <row r="5" customFormat="false" ht="15" hidden="false" customHeight="false" outlineLevel="0" collapsed="false">
      <c r="A5" s="0" t="s">
        <v>115</v>
      </c>
      <c r="B5" s="0" t="s">
        <v>233</v>
      </c>
      <c r="C5" s="0" t="s">
        <v>234</v>
      </c>
      <c r="D5" s="0" t="s">
        <v>235</v>
      </c>
      <c r="E5" s="0" t="n">
        <v>0.1</v>
      </c>
      <c r="F5" s="0" t="s">
        <v>14</v>
      </c>
      <c r="G5" s="0" t="s">
        <v>117</v>
      </c>
      <c r="H5" s="0" t="s">
        <v>70</v>
      </c>
      <c r="I5" s="0" t="n">
        <v>0.1</v>
      </c>
      <c r="J5" s="0" t="n">
        <v>0</v>
      </c>
      <c r="K5" s="0" t="s">
        <v>230</v>
      </c>
    </row>
    <row r="6" customFormat="false" ht="15" hidden="false" customHeight="false" outlineLevel="0" collapsed="false">
      <c r="A6" s="0" t="s">
        <v>118</v>
      </c>
      <c r="B6" s="0" t="s">
        <v>231</v>
      </c>
      <c r="C6" s="0" t="s">
        <v>232</v>
      </c>
      <c r="D6" s="0" t="s">
        <v>229</v>
      </c>
      <c r="E6" s="0" t="n">
        <v>0.1792</v>
      </c>
      <c r="F6" s="0" t="s">
        <v>14</v>
      </c>
      <c r="G6" s="0" t="s">
        <v>81</v>
      </c>
      <c r="H6" s="0" t="s">
        <v>70</v>
      </c>
      <c r="I6" s="0" t="n">
        <v>0.1792</v>
      </c>
      <c r="J6" s="0" t="n">
        <v>0</v>
      </c>
      <c r="K6" s="0" t="s">
        <v>230</v>
      </c>
    </row>
    <row r="7" customFormat="false" ht="15" hidden="false" customHeight="false" outlineLevel="0" collapsed="false">
      <c r="A7" s="0" t="s">
        <v>120</v>
      </c>
      <c r="B7" s="0" t="s">
        <v>236</v>
      </c>
      <c r="C7" s="0" t="s">
        <v>237</v>
      </c>
      <c r="D7" s="0" t="s">
        <v>238</v>
      </c>
      <c r="E7" s="0" t="n">
        <v>0.0912</v>
      </c>
      <c r="F7" s="0" t="s">
        <v>14</v>
      </c>
      <c r="G7" s="0" t="s">
        <v>81</v>
      </c>
      <c r="H7" s="0" t="s">
        <v>70</v>
      </c>
      <c r="I7" s="0" t="n">
        <v>0.0912</v>
      </c>
      <c r="J7" s="0" t="n">
        <v>0</v>
      </c>
      <c r="K7" s="0" t="s">
        <v>230</v>
      </c>
    </row>
    <row r="8" customFormat="false" ht="15" hidden="false" customHeight="false" outlineLevel="0" collapsed="false">
      <c r="A8" s="0" t="s">
        <v>122</v>
      </c>
      <c r="B8" s="0" t="s">
        <v>239</v>
      </c>
      <c r="C8" s="0" t="s">
        <v>240</v>
      </c>
      <c r="D8" s="0" t="s">
        <v>238</v>
      </c>
      <c r="E8" s="0" t="n">
        <v>0.025</v>
      </c>
      <c r="F8" s="0" t="s">
        <v>14</v>
      </c>
      <c r="G8" s="0" t="s">
        <v>123</v>
      </c>
      <c r="H8" s="0" t="s">
        <v>70</v>
      </c>
      <c r="I8" s="0" t="n">
        <v>0.025</v>
      </c>
      <c r="J8" s="0" t="n">
        <v>0</v>
      </c>
      <c r="K8" s="0" t="s">
        <v>230</v>
      </c>
    </row>
    <row r="9" customFormat="false" ht="15" hidden="false" customHeight="false" outlineLevel="0" collapsed="false">
      <c r="A9" s="0" t="s">
        <v>124</v>
      </c>
      <c r="B9" s="0" t="s">
        <v>241</v>
      </c>
      <c r="C9" s="0" t="s">
        <v>242</v>
      </c>
      <c r="D9" s="0" t="s">
        <v>243</v>
      </c>
      <c r="E9" s="0" t="n">
        <v>0</v>
      </c>
      <c r="F9" s="0" t="s">
        <v>14</v>
      </c>
      <c r="G9" s="0" t="s">
        <v>126</v>
      </c>
      <c r="H9" s="0" t="s">
        <v>70</v>
      </c>
      <c r="I9" s="0" t="n">
        <v>0</v>
      </c>
      <c r="K9" s="0" t="s">
        <v>230</v>
      </c>
    </row>
    <row r="10" customFormat="false" ht="15" hidden="false" customHeight="false" outlineLevel="0" collapsed="false">
      <c r="A10" s="0" t="s">
        <v>127</v>
      </c>
      <c r="B10" s="0" t="s">
        <v>241</v>
      </c>
      <c r="C10" s="0" t="s">
        <v>242</v>
      </c>
      <c r="D10" s="0" t="s">
        <v>32</v>
      </c>
      <c r="E10" s="0" t="n">
        <v>0</v>
      </c>
      <c r="F10" s="0" t="s">
        <v>14</v>
      </c>
      <c r="G10" s="0" t="s">
        <v>126</v>
      </c>
      <c r="H10" s="0" t="s">
        <v>70</v>
      </c>
      <c r="I10" s="0" t="n">
        <v>0</v>
      </c>
      <c r="K10" s="0" t="s">
        <v>230</v>
      </c>
    </row>
    <row r="11" customFormat="false" ht="15" hidden="false" customHeight="false" outlineLevel="0" collapsed="false">
      <c r="A11" s="0" t="s">
        <v>129</v>
      </c>
      <c r="B11" s="0" t="s">
        <v>241</v>
      </c>
      <c r="C11" s="0" t="s">
        <v>242</v>
      </c>
      <c r="D11" s="0" t="s">
        <v>244</v>
      </c>
      <c r="E11" s="0" t="n">
        <v>0</v>
      </c>
      <c r="F11" s="0" t="s">
        <v>14</v>
      </c>
      <c r="G11" s="0" t="s">
        <v>126</v>
      </c>
      <c r="H11" s="0" t="s">
        <v>70</v>
      </c>
      <c r="I11" s="0" t="n">
        <v>0</v>
      </c>
      <c r="K11" s="0" t="s">
        <v>230</v>
      </c>
    </row>
    <row r="12" customFormat="false" ht="15" hidden="false" customHeight="false" outlineLevel="0" collapsed="false">
      <c r="A12" s="0" t="s">
        <v>130</v>
      </c>
      <c r="B12" s="0" t="s">
        <v>241</v>
      </c>
      <c r="C12" s="0" t="s">
        <v>242</v>
      </c>
      <c r="D12" s="0" t="s">
        <v>243</v>
      </c>
      <c r="E12" s="0" t="n">
        <v>0</v>
      </c>
      <c r="F12" s="0" t="s">
        <v>14</v>
      </c>
      <c r="G12" s="0" t="s">
        <v>126</v>
      </c>
      <c r="H12" s="0" t="s">
        <v>70</v>
      </c>
      <c r="I12" s="0" t="n">
        <v>0</v>
      </c>
      <c r="K12" s="0" t="s">
        <v>230</v>
      </c>
    </row>
  </sheetData>
  <autoFilter ref="A1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2026-09-14T08:10:58Z</dcterms:created>
  <dc:creator>openpyxl</dc:creator>
  <dc:description/>
  <dc:language>en-US</dc:language>
  <cp:lastModifiedBy/>
  <dcterms:modified xsi:type="dcterms:W3CDTF">2026-09-14T08:10:58Z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