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lient Summary" sheetId="1" state="visible" r:id="rId1"/>
    <sheet xmlns:r="http://schemas.openxmlformats.org/officeDocument/2006/relationships" name="Lab Cost Estimate" sheetId="2" state="visible" r:id="rId2"/>
  </sheets>
  <definedNames>
    <definedName name="_xlnm.Print_Area" localSheetId="0">'Client Summary'!$A$1:$F$19</definedName>
    <definedName name="_xlnm.Print_Area" localSheetId="1">'Lab Cost Estimate'!$A$1:$K$319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₹#,##0.00;[RED]&quot;(₹&quot;#,##0.00\);\-"/>
    <numFmt numFmtId="165" formatCode="0.0%;[RED]\(0.0%\);\-"/>
    <numFmt numFmtId="166" formatCode="\$0.0000;[RED]&quot;($&quot;0.0000\);\-"/>
    <numFmt numFmtId="167" formatCode="yyyy\-mm\-dd"/>
    <numFmt numFmtId="168" formatCode="₹#,##0.0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  <font>
      <name val="Calibri"/>
      <charset val="1"/>
      <family val="0"/>
      <color rgb="FF008000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rgb="FF595959"/>
      <sz val="11"/>
    </font>
    <font>
      <name val="Calibri"/>
      <charset val="1"/>
      <family val="0"/>
      <b val="1"/>
      <color rgb="FF008000"/>
      <sz val="11"/>
    </font>
    <font>
      <name val="Calibri"/>
      <charset val="1"/>
      <family val="0"/>
      <color rgb="FF0000FF"/>
      <sz val="11"/>
    </font>
    <font>
      <name val="DejaVu Sans"/>
      <charset val="1"/>
      <family val="2"/>
      <sz val="10"/>
    </font>
    <font>
      <name val="DejaVu Sans"/>
      <family val="2"/>
      <sz val="10"/>
    </font>
    <font>
      <name val="Aptos Display"/>
      <b val="1"/>
      <color rgb="00FFFFFF"/>
      <sz val="18"/>
    </font>
    <font>
      <name val="Aptos"/>
      <i val="1"/>
      <color rgb="00475569"/>
      <sz val="10"/>
    </font>
    <font>
      <b val="1"/>
      <color rgb="00FFFFFF"/>
      <sz val="12"/>
    </font>
    <font>
      <b val="1"/>
      <color rgb="00475569"/>
    </font>
    <font>
      <b val="1"/>
      <color rgb="00FFFFFF"/>
      <sz val="13"/>
    </font>
    <font>
      <b val="1"/>
      <color rgb="00FFFFFF"/>
      <sz val="11"/>
    </font>
    <font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  <fill>
      <patternFill patternType="solid">
        <fgColor rgb="000F766E"/>
      </patternFill>
    </fill>
    <fill>
      <patternFill patternType="solid">
        <fgColor rgb="0017365D"/>
      </patternFill>
    </fill>
    <fill>
      <patternFill patternType="solid">
        <fgColor rgb="00E6FFF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4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164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164" fontId="10" fillId="4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164" fontId="8" fillId="0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top" wrapText="1"/>
    </xf>
    <xf numFmtId="164" fontId="12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165" fontId="13" fillId="5" borderId="0" applyAlignment="1" pivotButton="0" quotePrefix="0" xfId="0">
      <alignment horizontal="general" vertical="top" wrapText="1"/>
    </xf>
    <xf numFmtId="166" fontId="13" fillId="5" borderId="0" applyAlignment="1" pivotButton="0" quotePrefix="0" xfId="0">
      <alignment horizontal="general" vertical="top" wrapText="1"/>
    </xf>
    <xf numFmtId="167" fontId="7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6" fillId="6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 wrapText="1"/>
    </xf>
    <xf numFmtId="0" fontId="18" fillId="7" borderId="0" applyAlignment="1" pivotButton="0" quotePrefix="0" xfId="0">
      <alignment vertical="center"/>
    </xf>
    <xf numFmtId="0" fontId="19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0" fontId="20" fillId="6" borderId="1" applyAlignment="1" pivotButton="0" quotePrefix="0" xfId="0">
      <alignment horizontal="left" vertical="center"/>
    </xf>
    <xf numFmtId="168" fontId="20" fillId="6" borderId="1" applyAlignment="1" pivotButton="0" quotePrefix="0" xfId="0">
      <alignment horizontal="right" vertical="center"/>
    </xf>
    <xf numFmtId="0" fontId="21" fillId="7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horizontal="general" vertical="bottom"/>
    </xf>
    <xf numFmtId="0" fontId="22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4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164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164" fontId="10" fillId="4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top" wrapText="1"/>
    </xf>
    <xf numFmtId="164" fontId="12" fillId="4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165" fontId="13" fillId="5" borderId="0" applyAlignment="1" pivotButton="0" quotePrefix="0" xfId="0">
      <alignment horizontal="general" vertical="top" wrapText="1"/>
    </xf>
    <xf numFmtId="166" fontId="13" fillId="5" borderId="0" applyAlignment="1" pivotButton="0" quotePrefix="0" xfId="0">
      <alignment horizontal="general" vertical="top" wrapText="1"/>
    </xf>
    <xf numFmtId="167" fontId="7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G126" authorId="0" shapeId="0">
      <text>
        <t>SKU 4NK2QE2HS7XC4TZC; dimension 4NK2QE2HS7XC4TZC.JRTCKXETXF.6YS6EN2CT7; effective 2026-09-01; USD public retail price</t>
      </text>
    </comment>
    <comment ref="G127" authorId="0" shapeId="0">
      <text>
        <t>SKU RQJ9MJY8F5PSNNWU; dimension RQJ9MJY8F5PSNNWU.JRTCKXETXF.6YS6EN2CT7; effective 2026-08-01; USD public retail price</t>
      </text>
    </comment>
    <comment ref="G128" authorId="0" shapeId="0">
      <text>
        <t>SKU WSEUB4NX5HQYMN3K; dimension WSEUB4NX5HQYMN3K.JRTCKXETXF.6YS6EN2CT7; effective 2026-09-01; USD public retail price</t>
      </text>
    </comment>
    <comment ref="G129" authorId="0" shapeId="0">
      <text>
        <t>SKU D7RMW443YWTMZ4V5; dimension D7RMW443YWTMZ4V5.JRTCKXETXF.6YS6EN2CT7; effective 2026-09-01; USD public retail price</t>
      </text>
    </comment>
    <comment ref="G130" authorId="0" shapeId="0">
      <text>
        <t>S3 Standard first-tier estimate, at most 51200 GB; excludes request charges and account-level volume discounts. Regenerate if storage quantities change.</t>
      </text>
    </comment>
    <comment ref="G131" authorId="0" shapeId="0">
      <text>
        <t>Not enabled by the automatic baseline architecture</t>
      </text>
    </comment>
    <comment ref="G132" authorId="0" shapeId="0">
      <text>
        <t>Not enabled by the automatic baseline architecture</t>
      </text>
    </comment>
    <comment ref="G133" authorId="0" shapeId="0">
      <text>
        <t>Not enabled by the automatic baseline architecture</t>
      </text>
    </comment>
    <comment ref="G134" authorId="0" shapeId="0">
      <text>
        <t>Not enabled by the automatic baseline architecture</t>
      </text>
    </comment>
    <comment ref="G153" authorId="0" shapeId="0">
      <text>
        <t>live SKU rate supplied</t>
      </text>
    </comment>
    <comment ref="G154" authorId="0" shapeId="0">
      <text>
        <t>live SKU rate supplied</t>
      </text>
    </comment>
    <comment ref="G255" authorId="0" shapeId="0">
      <text>
        <t>SKU DZH318Z0BQ35/00PM; dimension 734de0e1-404b-4c78-a340-a5f6498aca77; effective 2025-10-01T00:00:00Z; USD public retail price</t>
      </text>
    </comment>
    <comment ref="G256" authorId="0" shapeId="0">
      <text>
        <t>SKU DZH318Z0CQSH/0011; dimension 251a08e1-40d6-48e6-8368-4c3e5ee3bbff; effective 2020-09-01T00:00:00Z; USD public retail price</t>
      </text>
    </comment>
    <comment ref="G257" authorId="0" shapeId="0">
      <text>
        <t>SKU DZH318Z08M9W/007H; dimension 2382d92d-4ce9-5330-9bb4-8ec9120e6a64; effective 2021-11-01T00:00:00Z; USD public retail price</t>
      </text>
    </comment>
    <comment ref="G258" authorId="0" shapeId="0">
      <text>
        <t>Premium SSD P4 LRS: one 32-GiB disk per node; monthly disk price divided by 32 for workbook arithmetic. Keep disk size at 32 GiB; regenerate to change SKU. Retention uses the workbook 30-day month estimate.</t>
      </text>
    </comment>
    <comment ref="G259" authorId="0" shapeId="0">
      <text>
        <t>SKU DZH318Z0BZ18/0014; dimension e7835f46-4557-4a90-b05a-9033deda4811; effective 2021-10-01T00:00:00Z; USD public retail price</t>
      </text>
    </comment>
    <comment ref="G260" authorId="0" shapeId="0">
      <text>
        <t>Not enabled by the automatic baseline architecture</t>
      </text>
    </comment>
    <comment ref="G261" authorId="0" shapeId="0">
      <text>
        <t>Not enabled by the automatic baseline architecture</t>
      </text>
    </comment>
    <comment ref="G262" authorId="0" shapeId="0">
      <text>
        <t>Not enabled by the automatic baseline architecture</t>
      </text>
    </comment>
    <comment ref="G263" authorId="0" shapeId="0">
      <text>
        <t>Not enabled by the automatic baseline architecture</t>
      </text>
    </comment>
    <comment ref="G273" authorId="0" shapeId="0">
      <text>
        <t>live SKU rate supplied</t>
      </text>
    </comment>
    <comment ref="G274" authorId="0" shapeId="0">
      <text>
        <t>live SKU rate supplied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22" min="1" max="1"/>
    <col width="20" customWidth="1" style="22" min="2" max="2"/>
    <col width="16" customWidth="1" style="22" min="3" max="3"/>
    <col width="4" customWidth="1" style="22" min="4" max="4"/>
    <col width="24" customWidth="1" style="22" min="5" max="5"/>
    <col width="24" customWidth="1" style="22" min="6" max="6"/>
  </cols>
  <sheetData>
    <row r="1" ht="34" customHeight="1" s="22">
      <c r="A1" s="23" t="inlineStr">
        <is>
          <t>DevOps Lab Cost Estimate</t>
        </is>
      </c>
    </row>
    <row r="2" ht="30" customHeight="1" s="22">
      <c r="A2" s="24" t="inlineStr">
        <is>
          <t>Client quote summary — verified public retail rates. Provider alternatives are shown separately and must not be added together.</t>
        </is>
      </c>
    </row>
    <row r="4" ht="24" customHeight="1" s="22">
      <c r="A4" s="25" t="inlineStr">
        <is>
          <t>AWS | Mumbai</t>
        </is>
      </c>
    </row>
    <row r="5" ht="21" customHeight="1" s="22">
      <c r="A5" s="26" t="inlineStr">
        <is>
          <t>Training title</t>
        </is>
      </c>
      <c r="B5" s="27">
        <f>'Lab Cost Estimate'!B25</f>
        <v/>
      </c>
      <c r="C5" s="28" t="n"/>
    </row>
    <row r="6" ht="21" customHeight="1" s="22">
      <c r="A6" s="26" t="inlineStr">
        <is>
          <t>Participants</t>
        </is>
      </c>
      <c r="B6" s="29">
        <f>'Lab Cost Estimate'!B27</f>
        <v/>
      </c>
      <c r="C6" s="28" t="n"/>
    </row>
    <row r="7" ht="21" customHeight="1" s="22">
      <c r="A7" s="26" t="inlineStr">
        <is>
          <t>Training duration</t>
        </is>
      </c>
      <c r="B7" s="27">
        <f>'Lab Cost Estimate'!B28</f>
        <v/>
      </c>
      <c r="C7" s="28" t="n"/>
    </row>
    <row r="8" ht="21" customHeight="1" s="22">
      <c r="A8" s="26" t="inlineStr">
        <is>
          <t>Infrastructure cost</t>
        </is>
      </c>
      <c r="B8" s="30">
        <f>'Lab Cost Estimate'!B29</f>
        <v/>
      </c>
      <c r="C8" s="28" t="n"/>
    </row>
    <row r="9" ht="21" customHeight="1" s="22">
      <c r="A9" s="26" t="inlineStr">
        <is>
          <t>Support cost</t>
        </is>
      </c>
      <c r="B9" s="30">
        <f>'Lab Cost Estimate'!B30</f>
        <v/>
      </c>
      <c r="C9" s="28" t="n"/>
    </row>
    <row r="10" ht="21" customHeight="1" s="22">
      <c r="A10" s="26" t="inlineStr">
        <is>
          <t>Contingency</t>
        </is>
      </c>
      <c r="B10" s="30">
        <f>'Lab Cost Estimate'!B31</f>
        <v/>
      </c>
      <c r="C10" s="28" t="n"/>
    </row>
    <row r="11" ht="21" customHeight="1" s="22">
      <c r="A11" s="26" t="inlineStr">
        <is>
          <t>Tax / GST</t>
        </is>
      </c>
      <c r="B11" s="30">
        <f>'Lab Cost Estimate'!B32</f>
        <v/>
      </c>
      <c r="C11" s="28" t="n"/>
    </row>
    <row r="12" ht="21" customHeight="1" s="22">
      <c r="A12" s="31" t="inlineStr">
        <is>
          <t>Final estimated cost</t>
        </is>
      </c>
      <c r="B12" s="32">
        <f>'Lab Cost Estimate'!B33</f>
        <v/>
      </c>
      <c r="C12" s="28" t="n"/>
    </row>
    <row r="13" ht="21" customHeight="1" s="22">
      <c r="A13" s="26" t="inlineStr">
        <is>
          <t>Cost per participant</t>
        </is>
      </c>
      <c r="B13" s="30">
        <f>'Lab Cost Estimate'!B34</f>
        <v/>
      </c>
      <c r="C13" s="28" t="n"/>
    </row>
    <row r="14" ht="21" customHeight="1" s="22">
      <c r="A14" s="28" t="inlineStr">
        <is>
          <t>Quote validity</t>
        </is>
      </c>
      <c r="B14" s="28">
        <f>'Lab Cost Estimate'!B35</f>
        <v/>
      </c>
      <c r="C14" s="28" t="n"/>
    </row>
    <row r="16">
      <c r="A16" s="33" t="inlineStr">
        <is>
          <t>Included documents</t>
        </is>
      </c>
    </row>
    <row r="17">
      <c r="A17" s="34" t="inlineStr">
        <is>
          <t>• Trainer profile</t>
        </is>
      </c>
    </row>
    <row r="18">
      <c r="A18" s="34" t="inlineStr">
        <is>
          <t>• Training ToC</t>
        </is>
      </c>
    </row>
    <row r="19">
      <c r="A19" s="34" t="inlineStr">
        <is>
          <t>• Detailed resource cost, assumptions, and verified rate card</t>
        </is>
      </c>
    </row>
  </sheetData>
  <mergeCells count="17">
    <mergeCell ref="B13:C13"/>
    <mergeCell ref="A2:F2"/>
    <mergeCell ref="B6:C6"/>
    <mergeCell ref="A16:F16"/>
    <mergeCell ref="B7:C7"/>
    <mergeCell ref="B11:C11"/>
    <mergeCell ref="A19:F19"/>
    <mergeCell ref="B5:C5"/>
    <mergeCell ref="A1:F1"/>
    <mergeCell ref="B10:C10"/>
    <mergeCell ref="B14:C14"/>
    <mergeCell ref="A17:F17"/>
    <mergeCell ref="A18:F18"/>
    <mergeCell ref="B9:C9"/>
    <mergeCell ref="A4:C4"/>
    <mergeCell ref="B8:C8"/>
    <mergeCell ref="B12:C12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 filterMode="0">
    <outlinePr summaryBelow="0"/>
    <pageSetUpPr fitToPage="1"/>
  </sheetPr>
  <dimension ref="A1:K3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5390625" defaultRowHeight="15" customHeight="1" zeroHeight="0" outlineLevelRow="1"/>
  <cols>
    <col width="34" customWidth="1" style="35" min="1" max="1"/>
    <col width="18" customWidth="1" style="35" min="2" max="6"/>
    <col width="16" customWidth="1" style="22" min="3" max="3"/>
    <col width="16" customWidth="1" style="22" min="4" max="4"/>
    <col width="18" customWidth="1" style="22" min="5" max="5"/>
    <col width="14" customWidth="1" style="22" min="6" max="6"/>
    <col width="38" customWidth="1" style="35" min="7" max="7"/>
    <col width="18" customWidth="1" style="35" min="8" max="11"/>
    <col width="14" customWidth="1" style="22" min="9" max="9"/>
    <col width="18" customWidth="1" style="22" min="10" max="10"/>
    <col width="12" customWidth="1" style="22" min="11" max="11"/>
  </cols>
  <sheetData>
    <row r="1" ht="28" customHeight="1" s="22">
      <c r="A1" s="36" t="inlineStr">
        <is>
          <t>Cloud lab cost estimate</t>
        </is>
      </c>
    </row>
    <row r="2" ht="28" customHeight="1" s="22">
      <c r="A2" s="37" t="inlineStr">
        <is>
          <t>Provider totals are separate. Use the cloud(s) required by the course; do not add alternatives.</t>
        </is>
      </c>
    </row>
    <row r="3" ht="20" customHeight="1" s="22"/>
    <row r="4" ht="20" customHeight="1" s="22">
      <c r="A4" s="38" t="inlineStr">
        <is>
          <t>AWS — Resource Cost Breakdown</t>
        </is>
      </c>
    </row>
    <row r="5" ht="30" customHeight="1" s="22">
      <c r="A5" s="39" t="inlineStr">
        <is>
          <t>Resource Cost Breakdown – Billing-Unit Based</t>
        </is>
      </c>
    </row>
    <row r="6" ht="30" customHeight="1" s="22"/>
    <row r="7" ht="30" customHeight="1" s="22">
      <c r="A7" s="40" t="inlineStr">
        <is>
          <t>Resource</t>
        </is>
      </c>
      <c r="B7" s="40" t="inlineStr">
        <is>
          <t>Quantity</t>
        </is>
      </c>
      <c r="C7" s="40" t="inlineStr">
        <is>
          <t>Billing unit</t>
        </is>
      </c>
      <c r="D7" s="40" t="inlineStr">
        <is>
          <t>Rate (INR)</t>
        </is>
      </c>
      <c r="E7" s="40" t="inlineStr">
        <is>
          <t>Usage driver</t>
        </is>
      </c>
      <c r="F7" s="40" t="inlineStr">
        <is>
          <t>Days / Hours</t>
        </is>
      </c>
      <c r="G7" s="40" t="inlineStr">
        <is>
          <t>Formula basis</t>
        </is>
      </c>
      <c r="H7" s="40" t="inlineStr">
        <is>
          <t>Total (INR)</t>
        </is>
      </c>
      <c r="I7" s="40" t="inlineStr">
        <is>
          <t>Provider</t>
        </is>
      </c>
      <c r="J7" s="40" t="inlineStr">
        <is>
          <t>Region</t>
        </is>
      </c>
    </row>
    <row r="8" ht="30" customHeight="1" s="22">
      <c r="A8" s="41" t="inlineStr">
        <is>
          <t>VM (profiled)</t>
        </is>
      </c>
      <c r="B8" s="41">
        <f>SUMPRODUCT($C$161:$C$180,$I$161:$I$180)</f>
        <v/>
      </c>
      <c r="C8" s="41" t="inlineStr">
        <is>
          <t>per hour</t>
        </is>
      </c>
      <c r="D8" s="42">
        <f>SUMIFS($F$126:$F$152,$A$126:$A$152,I8,$B$126:$B$152,J8,$C$126:$C$152,A8)</f>
        <v/>
      </c>
      <c r="E8" s="41" t="inlineStr">
        <is>
          <t>runtime hours</t>
        </is>
      </c>
      <c r="F8" s="43">
        <f>$B$89</f>
        <v/>
      </c>
      <c r="G8" s="41" t="inlineStr">
        <is>
          <t>Light/Heavy VM-days × respective rate × Hours/day</t>
        </is>
      </c>
      <c r="H8" s="44">
        <f>(SUMPRODUCT($C$161:$C$180,$I$161:$I$180,--($D$161:$D$180="Light"))*$F$153+SUMPRODUCT($C$161:$C$180,$I$161:$I$180,--($D$161:$D$180="Heavy"))*$F$154)*$B$89</f>
        <v/>
      </c>
      <c r="I8" s="43">
        <f>$B$87</f>
        <v/>
      </c>
      <c r="J8" s="43">
        <f>$B$88</f>
        <v/>
      </c>
    </row>
    <row r="9" ht="30" customHeight="1" s="22">
      <c r="A9" s="41" t="inlineStr">
        <is>
          <t>Kubernetes control plane</t>
        </is>
      </c>
      <c r="B9" s="41">
        <f>SUMPRODUCT($E$161:$E$180,$I$161:$I$180)</f>
        <v/>
      </c>
      <c r="C9" s="41" t="inlineStr">
        <is>
          <t>per cluster-hour</t>
        </is>
      </c>
      <c r="D9" s="42">
        <f>SUMIFS($F$126:$F$152,$A$126:$A$152,I9,$B$126:$B$152,J9,$C$126:$C$152,A9)</f>
        <v/>
      </c>
      <c r="E9" s="41" t="inlineStr">
        <is>
          <t>runtime hours</t>
        </is>
      </c>
      <c r="F9" s="43">
        <f>$B$89</f>
        <v/>
      </c>
      <c r="G9" s="41" t="inlineStr">
        <is>
          <t>Resource-days × Rate × Hours/day</t>
        </is>
      </c>
      <c r="H9" s="44">
        <f>B9*D9*F9</f>
        <v/>
      </c>
      <c r="I9" s="43">
        <f>$B$87</f>
        <v/>
      </c>
      <c r="J9" s="43">
        <f>$B$88</f>
        <v/>
      </c>
    </row>
    <row r="10" ht="30" customHeight="1" s="22">
      <c r="A10" s="41" t="inlineStr">
        <is>
          <t>Kubernetes worker</t>
        </is>
      </c>
      <c r="B10" s="43">
        <f>SUMPRODUCT($F$161:$F$180,$I$161:$I$180)</f>
        <v/>
      </c>
      <c r="C10" s="41" t="inlineStr">
        <is>
          <t>per VM-hour</t>
        </is>
      </c>
      <c r="D10" s="42">
        <f>SUMIFS($F$126:$F$152,$A$126:$A$152,I10,$B$126:$B$152,J10,$C$126:$C$152,A10)</f>
        <v/>
      </c>
      <c r="E10" s="41" t="inlineStr">
        <is>
          <t>runtime hours</t>
        </is>
      </c>
      <c r="F10" s="43">
        <f>$B$89</f>
        <v/>
      </c>
      <c r="G10" s="41" t="inlineStr">
        <is>
          <t>Resource-days × Rate × Hours/day</t>
        </is>
      </c>
      <c r="H10" s="44">
        <f>B10*D10*F10</f>
        <v/>
      </c>
      <c r="I10" s="43">
        <f>$B$87</f>
        <v/>
      </c>
      <c r="J10" s="43">
        <f>$B$88</f>
        <v/>
      </c>
    </row>
    <row r="11" ht="30" customHeight="1" s="22">
      <c r="A11" s="41" t="inlineStr">
        <is>
          <t>Disk</t>
        </is>
      </c>
      <c r="B11" s="41">
        <f>SUMPRODUCT(($C$161:$C$180+$F$161:$F$180),$I$161:$I$180)*$B$102</f>
        <v/>
      </c>
      <c r="C11" s="41" t="inlineStr">
        <is>
          <t>GB-month</t>
        </is>
      </c>
      <c r="D11" s="42">
        <f>SUMIFS($F$126:$F$152,$A$126:$A$152,I11,$B$126:$B$152,J11,$C$126:$C$152,A11)</f>
        <v/>
      </c>
      <c r="E11" s="41" t="inlineStr">
        <is>
          <t>prorated days</t>
        </is>
      </c>
      <c r="F11" s="43" t="n">
        <v>1</v>
      </c>
      <c r="G11" s="41" t="inlineStr">
        <is>
          <t>GB-node-days × monthly rate / 30</t>
        </is>
      </c>
      <c r="H11" s="44">
        <f>B11*D11/30</f>
        <v/>
      </c>
      <c r="I11" s="43">
        <f>$B$87</f>
        <v/>
      </c>
      <c r="J11" s="43">
        <f>$B$88</f>
        <v/>
      </c>
    </row>
    <row r="12" ht="30" customHeight="1" s="22">
      <c r="A12" s="41" t="inlineStr">
        <is>
          <t>Storage</t>
        </is>
      </c>
      <c r="B12" s="43">
        <f>SUMPRODUCT($H$161:$H$180,$I$161:$I$180)</f>
        <v/>
      </c>
      <c r="C12" s="41" t="inlineStr">
        <is>
          <t>GB-month</t>
        </is>
      </c>
      <c r="D12" s="42">
        <f>SUMIFS($F$126:$F$152,$A$126:$A$152,I12,$B$126:$B$152,J12,$C$126:$C$152,A12)</f>
        <v/>
      </c>
      <c r="E12" s="41" t="inlineStr">
        <is>
          <t>prorated days</t>
        </is>
      </c>
      <c r="F12" s="43" t="n">
        <v>1</v>
      </c>
      <c r="G12" s="41" t="inlineStr">
        <is>
          <t>GB-days × monthly rate / 30</t>
        </is>
      </c>
      <c r="H12" s="44">
        <f>B12*D12/30</f>
        <v/>
      </c>
      <c r="I12" s="43">
        <f>$B$87</f>
        <v/>
      </c>
      <c r="J12" s="43">
        <f>$B$88</f>
        <v/>
      </c>
    </row>
    <row r="13" ht="30" customHeight="1" s="22">
      <c r="A13" s="41" t="inlineStr">
        <is>
          <t>Egress</t>
        </is>
      </c>
      <c r="B13" s="43">
        <f>B93</f>
        <v/>
      </c>
      <c r="C13" s="41" t="inlineStr">
        <is>
          <t>per GB</t>
        </is>
      </c>
      <c r="D13" s="42">
        <f>SUMIFS($F$126:$F$152,$A$126:$A$152,I13,$B$126:$B$152,J13,$C$126:$C$152,A13)</f>
        <v/>
      </c>
      <c r="E13" s="41" t="inlineStr">
        <is>
          <t>one-time</t>
        </is>
      </c>
      <c r="F13" s="41" t="n">
        <v>1</v>
      </c>
      <c r="G13" s="41" t="inlineStr">
        <is>
          <t>GB × Rate</t>
        </is>
      </c>
      <c r="H13" s="44">
        <f>B13*D13</f>
        <v/>
      </c>
      <c r="I13" s="43">
        <f>$B$87</f>
        <v/>
      </c>
      <c r="J13" s="43">
        <f>$B$88</f>
        <v/>
      </c>
    </row>
    <row r="14" ht="30" customHeight="1" s="22">
      <c r="A14" s="41" t="inlineStr">
        <is>
          <t>Build runner</t>
        </is>
      </c>
      <c r="B14" s="43">
        <f>B94</f>
        <v/>
      </c>
      <c r="C14" s="41" t="inlineStr">
        <is>
          <t>per build minute</t>
        </is>
      </c>
      <c r="D14" s="42">
        <f>SUMIFS($F$126:$F$152,$A$126:$A$152,I14,$B$126:$B$152,J14,$C$126:$C$152,A14)</f>
        <v/>
      </c>
      <c r="E14" s="41" t="inlineStr">
        <is>
          <t>one-time</t>
        </is>
      </c>
      <c r="F14" s="41" t="n">
        <v>1</v>
      </c>
      <c r="G14" s="41" t="inlineStr">
        <is>
          <t>Minutes × Rate</t>
        </is>
      </c>
      <c r="H14" s="44">
        <f>B14*D14</f>
        <v/>
      </c>
      <c r="I14" s="43">
        <f>$B$87</f>
        <v/>
      </c>
      <c r="J14" s="43">
        <f>$B$88</f>
        <v/>
      </c>
    </row>
    <row r="15" ht="30" customHeight="1" s="22">
      <c r="A15" s="41" t="inlineStr">
        <is>
          <t>Managed database</t>
        </is>
      </c>
      <c r="B15" s="41">
        <f>SUMPRODUCT($G$161:$G$180,$I$161:$I$180)</f>
        <v/>
      </c>
      <c r="C15" s="41" t="inlineStr">
        <is>
          <t>per hour</t>
        </is>
      </c>
      <c r="D15" s="42">
        <f>SUMIFS($F$126:$F$152,$A$126:$A$152,I15,$B$126:$B$152,J15,$C$126:$C$152,A15)</f>
        <v/>
      </c>
      <c r="E15" s="41" t="inlineStr">
        <is>
          <t>runtime hours</t>
        </is>
      </c>
      <c r="F15" s="43">
        <f>$B$89</f>
        <v/>
      </c>
      <c r="G15" s="41" t="inlineStr">
        <is>
          <t>Resource-days × Rate × Hours/day</t>
        </is>
      </c>
      <c r="H15" s="44">
        <f>B15*D15*F15</f>
        <v/>
      </c>
      <c r="I15" s="43">
        <f>$B$87</f>
        <v/>
      </c>
      <c r="J15" s="43">
        <f>$B$88</f>
        <v/>
      </c>
    </row>
    <row r="16" ht="30" customHeight="1" s="22">
      <c r="A16" s="41" t="inlineStr">
        <is>
          <t>Monitoring</t>
        </is>
      </c>
      <c r="B16" s="43">
        <f>B95</f>
        <v/>
      </c>
      <c r="C16" s="41" t="inlineStr">
        <is>
          <t>per GB</t>
        </is>
      </c>
      <c r="D16" s="42">
        <f>SUMIFS($F$126:$F$152,$A$126:$A$152,I16,$B$126:$B$152,J16,$C$126:$C$152,A16)</f>
        <v/>
      </c>
      <c r="E16" s="41" t="inlineStr">
        <is>
          <t>one-time</t>
        </is>
      </c>
      <c r="F16" s="41" t="n">
        <v>1</v>
      </c>
      <c r="G16" s="41" t="inlineStr">
        <is>
          <t>GB × Rate</t>
        </is>
      </c>
      <c r="H16" s="44">
        <f>B16*D16</f>
        <v/>
      </c>
      <c r="I16" s="43">
        <f>$B$87</f>
        <v/>
      </c>
      <c r="J16" s="43">
        <f>$B$88</f>
        <v/>
      </c>
    </row>
    <row r="17" ht="30" customHeight="1" s="22"/>
    <row r="18" ht="30" customHeight="1" s="22">
      <c r="A18" s="45" t="inlineStr">
        <is>
          <t>Total Infrastructure Cost</t>
        </is>
      </c>
      <c r="H18" s="46">
        <f>SUM(H8:H16)</f>
        <v/>
      </c>
    </row>
    <row r="19" ht="20" customHeight="1" s="22"/>
    <row r="20" ht="20" customHeight="1" s="22"/>
    <row r="21" ht="20" customHeight="1" s="22">
      <c r="A21" s="38" t="inlineStr">
        <is>
          <t>AWS — Client Estimate</t>
        </is>
      </c>
    </row>
    <row r="22" ht="30" customHeight="1" s="22">
      <c r="A22" s="39" t="inlineStr">
        <is>
          <t>Client Lab Cost Estimate</t>
        </is>
      </c>
    </row>
    <row r="23" ht="30" customHeight="1" s="22"/>
    <row r="24" ht="30" customHeight="1" s="22">
      <c r="A24" s="45" t="inlineStr">
        <is>
          <t>CLIENT QUOTE SUMMARY</t>
        </is>
      </c>
    </row>
    <row r="25" ht="30" customHeight="1" s="22">
      <c r="A25" s="47" t="inlineStr">
        <is>
          <t>Training title</t>
        </is>
      </c>
      <c r="B25" s="43">
        <f>B86</f>
        <v/>
      </c>
    </row>
    <row r="26" ht="30" customHeight="1" s="22">
      <c r="A26" s="47" t="inlineStr">
        <is>
          <t>Cloud provider and region</t>
        </is>
      </c>
      <c r="B26" s="43">
        <f>B87&amp;" – "&amp;B88</f>
        <v/>
      </c>
    </row>
    <row r="27" ht="30" customHeight="1" s="22">
      <c r="A27" s="47" t="inlineStr">
        <is>
          <t>Number of participants</t>
        </is>
      </c>
      <c r="B27" s="43">
        <f>B91</f>
        <v/>
      </c>
    </row>
    <row r="28" ht="30" customHeight="1" s="22">
      <c r="A28" s="47" t="inlineStr">
        <is>
          <t>Training days and hours/day</t>
        </is>
      </c>
      <c r="B28" s="43">
        <f>B90&amp;" days × "&amp;B89&amp;" hours/day"</f>
        <v/>
      </c>
    </row>
    <row r="29" ht="30" customHeight="1" s="22">
      <c r="A29" s="47" t="inlineStr">
        <is>
          <t>Infrastructure cost</t>
        </is>
      </c>
      <c r="B29" s="42">
        <f>H18</f>
        <v/>
      </c>
    </row>
    <row r="30" ht="30" customHeight="1" s="22">
      <c r="A30" s="47" t="inlineStr">
        <is>
          <t>Support cost</t>
        </is>
      </c>
      <c r="B30" s="42">
        <f>B103*B91*B90</f>
        <v/>
      </c>
    </row>
    <row r="31" ht="30" customHeight="1" s="22">
      <c r="A31" s="47" t="inlineStr">
        <is>
          <t>Contingency</t>
        </is>
      </c>
      <c r="B31" s="42">
        <f>(B29+B30)*B98</f>
        <v/>
      </c>
    </row>
    <row r="32" ht="30" customHeight="1" s="22">
      <c r="A32" s="47" t="inlineStr">
        <is>
          <t>Tax / GST</t>
        </is>
      </c>
      <c r="B32" s="42">
        <f>(B29+B30+B31)*B99</f>
        <v/>
      </c>
    </row>
    <row r="33" ht="30" customHeight="1" s="22">
      <c r="A33" s="48" t="inlineStr">
        <is>
          <t>Final estimated cost</t>
        </is>
      </c>
      <c r="B33" s="49">
        <f>B29+B30+B31+B32</f>
        <v/>
      </c>
    </row>
    <row r="34" ht="30" customHeight="1" s="22">
      <c r="A34" s="48" t="inlineStr">
        <is>
          <t>Cost per participant</t>
        </is>
      </c>
      <c r="B34" s="49">
        <f>B33/B91</f>
        <v/>
      </c>
    </row>
    <row r="35" ht="30" customHeight="1" s="22">
      <c r="A35" s="47" t="inlineStr">
        <is>
          <t>Quote validity</t>
        </is>
      </c>
      <c r="B35" s="43">
        <f>B101&amp;" days from quote date"</f>
        <v/>
      </c>
    </row>
    <row r="36" ht="30" customHeight="1" s="22"/>
    <row r="37" ht="30" customHeight="1" s="22">
      <c r="A37" s="45" t="inlineStr">
        <is>
          <t>Estimate notes</t>
        </is>
      </c>
    </row>
    <row r="38" ht="30" customHeight="1" s="22">
      <c r="A38" s="41" t="inlineStr">
        <is>
          <t>Fresh public retail rates checked: 2026-09-15T09:05:32.395861+00:00. Valid until: 2026-09-22T09:05:32.395861+00:00. Price-change review: not triggered. See Live Price Check. Account discounts and future usage may differ.</t>
        </is>
      </c>
    </row>
    <row r="39" ht="30" customHeight="1" s="22"/>
    <row r="40" ht="30" customHeight="1" s="22"/>
    <row r="41" ht="20" customHeight="1" s="22"/>
    <row r="42" ht="20" customHeight="1" s="22"/>
    <row r="43" ht="20" customHeight="1" s="22">
      <c r="A43" s="38" t="inlineStr">
        <is>
          <t>AZURE — Resource Cost Breakdown</t>
        </is>
      </c>
    </row>
    <row r="44" ht="30" customHeight="1" s="22">
      <c r="A44" s="39" t="inlineStr">
        <is>
          <t>Resource Cost Breakdown – Billing-Unit Based</t>
        </is>
      </c>
    </row>
    <row r="45" ht="30" customHeight="1" s="22"/>
    <row r="46" ht="30" customHeight="1" s="22">
      <c r="A46" s="40" t="inlineStr">
        <is>
          <t>Resource</t>
        </is>
      </c>
      <c r="B46" s="40" t="inlineStr">
        <is>
          <t>Quantity</t>
        </is>
      </c>
      <c r="C46" s="40" t="inlineStr">
        <is>
          <t>Billing unit</t>
        </is>
      </c>
      <c r="D46" s="40" t="inlineStr">
        <is>
          <t>Rate (INR)</t>
        </is>
      </c>
      <c r="E46" s="40" t="inlineStr">
        <is>
          <t>Usage driver</t>
        </is>
      </c>
      <c r="F46" s="40" t="inlineStr">
        <is>
          <t>Days / Hours</t>
        </is>
      </c>
      <c r="G46" s="40" t="inlineStr">
        <is>
          <t>Formula basis</t>
        </is>
      </c>
      <c r="H46" s="40" t="inlineStr">
        <is>
          <t>Total (INR)</t>
        </is>
      </c>
      <c r="I46" s="40" t="inlineStr">
        <is>
          <t>Provider</t>
        </is>
      </c>
      <c r="J46" s="40" t="inlineStr">
        <is>
          <t>Region</t>
        </is>
      </c>
    </row>
    <row r="47" ht="30" customHeight="1" s="22">
      <c r="A47" s="41" t="inlineStr">
        <is>
          <t>VM (profiled)</t>
        </is>
      </c>
      <c r="B47" s="41">
        <f>SUMPRODUCT($C$281:$C$300,$I$281:$I$300)</f>
        <v/>
      </c>
      <c r="C47" s="41" t="inlineStr">
        <is>
          <t>per hour</t>
        </is>
      </c>
      <c r="D47" s="42">
        <f>SUMIFS($F$246:$F$272,$A$246:$A$272,I47,$B$246:$B$272,J47,$C$246:$C$272,A47)</f>
        <v/>
      </c>
      <c r="E47" s="41" t="inlineStr">
        <is>
          <t>runtime hours</t>
        </is>
      </c>
      <c r="F47" s="43">
        <f>$B$209</f>
        <v/>
      </c>
      <c r="G47" s="41" t="inlineStr">
        <is>
          <t>Light/Heavy VM-days × respective rate × Hours/day</t>
        </is>
      </c>
      <c r="H47" s="44">
        <f>(SUMPRODUCT($C$281:$C$300,$I$281:$I$300,--($D$281:$D$300="Light"))*$F$273+SUMPRODUCT($C$281:$C$300,$I$281:$I$300,--($D$281:$D$300="Heavy"))*$F$274)*$B$209</f>
        <v/>
      </c>
      <c r="I47" s="43">
        <f>$B$207</f>
        <v/>
      </c>
      <c r="J47" s="43">
        <f>$B$208</f>
        <v/>
      </c>
    </row>
    <row r="48" ht="30" customHeight="1" s="22">
      <c r="A48" s="41" t="inlineStr">
        <is>
          <t>Kubernetes control plane</t>
        </is>
      </c>
      <c r="B48" s="41">
        <f>SUMPRODUCT($E$281:$E$300,$I$281:$I$300)</f>
        <v/>
      </c>
      <c r="C48" s="41" t="inlineStr">
        <is>
          <t>per cluster-hour</t>
        </is>
      </c>
      <c r="D48" s="42">
        <f>SUMIFS($F$246:$F$272,$A$246:$A$272,I48,$B$246:$B$272,J48,$C$246:$C$272,A48)</f>
        <v/>
      </c>
      <c r="E48" s="41" t="inlineStr">
        <is>
          <t>runtime hours</t>
        </is>
      </c>
      <c r="F48" s="43">
        <f>$B$209</f>
        <v/>
      </c>
      <c r="G48" s="41" t="inlineStr">
        <is>
          <t>Resource-days × Rate × Hours/day</t>
        </is>
      </c>
      <c r="H48" s="44">
        <f>B48*D48*F48</f>
        <v/>
      </c>
      <c r="I48" s="43">
        <f>$B$207</f>
        <v/>
      </c>
      <c r="J48" s="43">
        <f>$B$208</f>
        <v/>
      </c>
    </row>
    <row r="49" ht="30" customHeight="1" s="22">
      <c r="A49" s="41" t="inlineStr">
        <is>
          <t>Kubernetes worker</t>
        </is>
      </c>
      <c r="B49" s="43">
        <f>SUMPRODUCT($F$281:$F$300,$I$281:$I$300)</f>
        <v/>
      </c>
      <c r="C49" s="41" t="inlineStr">
        <is>
          <t>per VM-hour</t>
        </is>
      </c>
      <c r="D49" s="42">
        <f>SUMIFS($F$246:$F$272,$A$246:$A$272,I49,$B$246:$B$272,J49,$C$246:$C$272,A49)</f>
        <v/>
      </c>
      <c r="E49" s="41" t="inlineStr">
        <is>
          <t>runtime hours</t>
        </is>
      </c>
      <c r="F49" s="43">
        <f>$B$209</f>
        <v/>
      </c>
      <c r="G49" s="41" t="inlineStr">
        <is>
          <t>Resource-days × Rate × Hours/day</t>
        </is>
      </c>
      <c r="H49" s="44">
        <f>B49*D49*F49</f>
        <v/>
      </c>
      <c r="I49" s="43">
        <f>$B$207</f>
        <v/>
      </c>
      <c r="J49" s="43">
        <f>$B$208</f>
        <v/>
      </c>
    </row>
    <row r="50" ht="30" customHeight="1" s="22">
      <c r="A50" s="41" t="inlineStr">
        <is>
          <t>Disk</t>
        </is>
      </c>
      <c r="B50" s="41">
        <f>SUMPRODUCT(($C$281:$C$300+$F$281:$F$300),$I$281:$I$300)*$B$222</f>
        <v/>
      </c>
      <c r="C50" s="41" t="inlineStr">
        <is>
          <t>GB-month</t>
        </is>
      </c>
      <c r="D50" s="42">
        <f>SUMIFS($F$246:$F$272,$A$246:$A$272,I50,$B$246:$B$272,J50,$C$246:$C$272,A50)</f>
        <v/>
      </c>
      <c r="E50" s="41" t="inlineStr">
        <is>
          <t>prorated days</t>
        </is>
      </c>
      <c r="F50" s="43" t="n">
        <v>1</v>
      </c>
      <c r="G50" s="41" t="inlineStr">
        <is>
          <t>GB-node-days × monthly rate / 30</t>
        </is>
      </c>
      <c r="H50" s="44">
        <f>B50*D50/30</f>
        <v/>
      </c>
      <c r="I50" s="43">
        <f>$B$207</f>
        <v/>
      </c>
      <c r="J50" s="43">
        <f>$B$208</f>
        <v/>
      </c>
    </row>
    <row r="51" ht="30" customHeight="1" s="22">
      <c r="A51" s="41" t="inlineStr">
        <is>
          <t>Storage</t>
        </is>
      </c>
      <c r="B51" s="43">
        <f>SUMPRODUCT($H$281:$H$300,$I$281:$I$300)</f>
        <v/>
      </c>
      <c r="C51" s="41" t="inlineStr">
        <is>
          <t>GB-month</t>
        </is>
      </c>
      <c r="D51" s="42">
        <f>SUMIFS($F$246:$F$272,$A$246:$A$272,I51,$B$246:$B$272,J51,$C$246:$C$272,A51)</f>
        <v/>
      </c>
      <c r="E51" s="41" t="inlineStr">
        <is>
          <t>prorated days</t>
        </is>
      </c>
      <c r="F51" s="43" t="n">
        <v>1</v>
      </c>
      <c r="G51" s="41" t="inlineStr">
        <is>
          <t>GB-days × monthly rate / 30</t>
        </is>
      </c>
      <c r="H51" s="44">
        <f>B51*D51/30</f>
        <v/>
      </c>
      <c r="I51" s="43">
        <f>$B$207</f>
        <v/>
      </c>
      <c r="J51" s="43">
        <f>$B$208</f>
        <v/>
      </c>
    </row>
    <row r="52" ht="30" customHeight="1" s="22">
      <c r="A52" s="41" t="inlineStr">
        <is>
          <t>Egress</t>
        </is>
      </c>
      <c r="B52" s="43">
        <f>B213</f>
        <v/>
      </c>
      <c r="C52" s="41" t="inlineStr">
        <is>
          <t>per GB</t>
        </is>
      </c>
      <c r="D52" s="42">
        <f>SUMIFS($F$246:$F$272,$A$246:$A$272,I52,$B$246:$B$272,J52,$C$246:$C$272,A52)</f>
        <v/>
      </c>
      <c r="E52" s="41" t="inlineStr">
        <is>
          <t>one-time</t>
        </is>
      </c>
      <c r="F52" s="41" t="n">
        <v>1</v>
      </c>
      <c r="G52" s="41" t="inlineStr">
        <is>
          <t>GB × Rate</t>
        </is>
      </c>
      <c r="H52" s="44">
        <f>B52*D52</f>
        <v/>
      </c>
      <c r="I52" s="43">
        <f>$B$207</f>
        <v/>
      </c>
      <c r="J52" s="43">
        <f>$B$208</f>
        <v/>
      </c>
    </row>
    <row r="53" ht="30" customHeight="1" s="22">
      <c r="A53" s="41" t="inlineStr">
        <is>
          <t>Build runner</t>
        </is>
      </c>
      <c r="B53" s="43">
        <f>B214</f>
        <v/>
      </c>
      <c r="C53" s="41" t="inlineStr">
        <is>
          <t>per build minute</t>
        </is>
      </c>
      <c r="D53" s="42">
        <f>SUMIFS($F$246:$F$272,$A$246:$A$272,I53,$B$246:$B$272,J53,$C$246:$C$272,A53)</f>
        <v/>
      </c>
      <c r="E53" s="41" t="inlineStr">
        <is>
          <t>one-time</t>
        </is>
      </c>
      <c r="F53" s="41" t="n">
        <v>1</v>
      </c>
      <c r="G53" s="41" t="inlineStr">
        <is>
          <t>Minutes × Rate</t>
        </is>
      </c>
      <c r="H53" s="44">
        <f>B53*D53</f>
        <v/>
      </c>
      <c r="I53" s="43">
        <f>$B$207</f>
        <v/>
      </c>
      <c r="J53" s="43">
        <f>$B$208</f>
        <v/>
      </c>
    </row>
    <row r="54" ht="30" customHeight="1" s="22">
      <c r="A54" s="41" t="inlineStr">
        <is>
          <t>Managed database</t>
        </is>
      </c>
      <c r="B54" s="41">
        <f>SUMPRODUCT($G$281:$G$300,$I$281:$I$300)</f>
        <v/>
      </c>
      <c r="C54" s="41" t="inlineStr">
        <is>
          <t>per hour</t>
        </is>
      </c>
      <c r="D54" s="42">
        <f>SUMIFS($F$246:$F$272,$A$246:$A$272,I54,$B$246:$B$272,J54,$C$246:$C$272,A54)</f>
        <v/>
      </c>
      <c r="E54" s="41" t="inlineStr">
        <is>
          <t>runtime hours</t>
        </is>
      </c>
      <c r="F54" s="43">
        <f>$B$209</f>
        <v/>
      </c>
      <c r="G54" s="41" t="inlineStr">
        <is>
          <t>Resource-days × Rate × Hours/day</t>
        </is>
      </c>
      <c r="H54" s="44">
        <f>B54*D54*F54</f>
        <v/>
      </c>
      <c r="I54" s="43">
        <f>$B$207</f>
        <v/>
      </c>
      <c r="J54" s="43">
        <f>$B$208</f>
        <v/>
      </c>
    </row>
    <row r="55" ht="30" customHeight="1" s="22">
      <c r="A55" s="41" t="inlineStr">
        <is>
          <t>Monitoring</t>
        </is>
      </c>
      <c r="B55" s="43">
        <f>B215</f>
        <v/>
      </c>
      <c r="C55" s="41" t="inlineStr">
        <is>
          <t>per GB</t>
        </is>
      </c>
      <c r="D55" s="42">
        <f>SUMIFS($F$246:$F$272,$A$246:$A$272,I55,$B$246:$B$272,J55,$C$246:$C$272,A55)</f>
        <v/>
      </c>
      <c r="E55" s="41" t="inlineStr">
        <is>
          <t>one-time</t>
        </is>
      </c>
      <c r="F55" s="41" t="n">
        <v>1</v>
      </c>
      <c r="G55" s="41" t="inlineStr">
        <is>
          <t>GB × Rate</t>
        </is>
      </c>
      <c r="H55" s="44">
        <f>B55*D55</f>
        <v/>
      </c>
      <c r="I55" s="43">
        <f>$B$207</f>
        <v/>
      </c>
      <c r="J55" s="43">
        <f>$B$208</f>
        <v/>
      </c>
    </row>
    <row r="56" ht="30" customHeight="1" s="22"/>
    <row r="57" ht="30" customHeight="1" s="22">
      <c r="A57" s="45" t="inlineStr">
        <is>
          <t>Total Infrastructure Cost</t>
        </is>
      </c>
      <c r="H57" s="46">
        <f>SUM(H47:H55)</f>
        <v/>
      </c>
    </row>
    <row r="58" ht="20" customHeight="1" s="22"/>
    <row r="59" ht="20" customHeight="1" s="22"/>
    <row r="60" ht="20" customHeight="1" s="22">
      <c r="A60" s="38" t="inlineStr">
        <is>
          <t>AZURE — Client Estimate</t>
        </is>
      </c>
    </row>
    <row r="61" ht="30" customHeight="1" s="22">
      <c r="A61" s="39" t="inlineStr">
        <is>
          <t>Client Lab Cost Estimate</t>
        </is>
      </c>
    </row>
    <row r="62" ht="30" customHeight="1" s="22"/>
    <row r="63" ht="30" customHeight="1" s="22">
      <c r="A63" s="45" t="inlineStr">
        <is>
          <t>CLIENT QUOTE SUMMARY</t>
        </is>
      </c>
    </row>
    <row r="64" ht="30" customHeight="1" s="22">
      <c r="A64" s="47" t="inlineStr">
        <is>
          <t>Training title</t>
        </is>
      </c>
      <c r="B64" s="43">
        <f>B206</f>
        <v/>
      </c>
    </row>
    <row r="65" ht="30" customHeight="1" s="22">
      <c r="A65" s="47" t="inlineStr">
        <is>
          <t>Cloud provider and region</t>
        </is>
      </c>
      <c r="B65" s="43">
        <f>B207&amp;" – "&amp;B208</f>
        <v/>
      </c>
    </row>
    <row r="66" ht="30" customHeight="1" s="22">
      <c r="A66" s="47" t="inlineStr">
        <is>
          <t>Number of participants</t>
        </is>
      </c>
      <c r="B66" s="43">
        <f>B211</f>
        <v/>
      </c>
    </row>
    <row r="67" ht="30" customHeight="1" s="22">
      <c r="A67" s="47" t="inlineStr">
        <is>
          <t>Training days and hours/day</t>
        </is>
      </c>
      <c r="B67" s="43">
        <f>B210&amp;" days × "&amp;B209&amp;" hours/day"</f>
        <v/>
      </c>
    </row>
    <row r="68" ht="30" customHeight="1" s="22">
      <c r="A68" s="47" t="inlineStr">
        <is>
          <t>Infrastructure cost</t>
        </is>
      </c>
      <c r="B68" s="42">
        <f>H57</f>
        <v/>
      </c>
    </row>
    <row r="69" ht="30" customHeight="1" s="22">
      <c r="A69" s="47" t="inlineStr">
        <is>
          <t>Support cost</t>
        </is>
      </c>
      <c r="B69" s="42">
        <f>B223*B211*B210</f>
        <v/>
      </c>
    </row>
    <row r="70" ht="30" customHeight="1" s="22">
      <c r="A70" s="47" t="inlineStr">
        <is>
          <t>Contingency</t>
        </is>
      </c>
      <c r="B70" s="42">
        <f>(B68+B69)*B218</f>
        <v/>
      </c>
    </row>
    <row r="71" ht="30" customHeight="1" s="22">
      <c r="A71" s="47" t="inlineStr">
        <is>
          <t>Tax / GST</t>
        </is>
      </c>
      <c r="B71" s="42">
        <f>(B68+B69+B70)*B219</f>
        <v/>
      </c>
    </row>
    <row r="72" ht="30" customHeight="1" s="22">
      <c r="A72" s="48" t="inlineStr">
        <is>
          <t>Final estimated cost</t>
        </is>
      </c>
      <c r="B72" s="49">
        <f>B68+B69+B70+B71</f>
        <v/>
      </c>
    </row>
    <row r="73" ht="30" customHeight="1" s="22">
      <c r="A73" s="48" t="inlineStr">
        <is>
          <t>Cost per participant</t>
        </is>
      </c>
      <c r="B73" s="49">
        <f>B72/B211</f>
        <v/>
      </c>
    </row>
    <row r="74" ht="30" customHeight="1" s="22">
      <c r="A74" s="47" t="inlineStr">
        <is>
          <t>Quote validity</t>
        </is>
      </c>
      <c r="B74" s="43">
        <f>B221&amp;" days from quote date"</f>
        <v/>
      </c>
    </row>
    <row r="75" ht="30" customHeight="1" s="22"/>
    <row r="76" ht="30" customHeight="1" s="22">
      <c r="A76" s="45" t="inlineStr">
        <is>
          <t>Estimate notes</t>
        </is>
      </c>
    </row>
    <row r="77" ht="30" customHeight="1" s="22">
      <c r="A77" s="41" t="inlineStr">
        <is>
          <t>Fresh public retail rates checked: 2026-09-15T09:05:38.277193+00:00. Valid until: 2026-09-22T09:05:38.277193+00:00. Price-change review: not triggered. See Live Price Check. Account discounts and future usage may differ.</t>
        </is>
      </c>
    </row>
    <row r="78" ht="30" customHeight="1" s="22"/>
    <row r="79" ht="30" customHeight="1" s="22"/>
    <row r="80" ht="20" customHeight="1" s="22"/>
    <row r="81" ht="20" customHeight="1" s="22"/>
    <row r="82" ht="20" customHeight="1" s="22">
      <c r="A82" s="38" t="inlineStr">
        <is>
          <t>AWS — Assumptions</t>
        </is>
      </c>
    </row>
    <row r="83" hidden="1" outlineLevel="1" ht="30" customHeight="1" s="22">
      <c r="A83" s="39" t="inlineStr">
        <is>
          <t>Lab Cost Model – Assumptions</t>
        </is>
      </c>
    </row>
    <row r="84" hidden="1" outlineLevel="1" ht="30" customHeight="1" s="22"/>
    <row r="85" hidden="1" outlineLevel="1" ht="30" customHeight="1" s="22">
      <c r="A85" s="40" t="inlineStr">
        <is>
          <t>Assumption</t>
        </is>
      </c>
      <c r="B85" s="40" t="inlineStr">
        <is>
          <t>Value</t>
        </is>
      </c>
      <c r="C85" s="40" t="inlineStr">
        <is>
          <t>Unit / Option</t>
        </is>
      </c>
      <c r="D85" s="40" t="inlineStr">
        <is>
          <t>Notes</t>
        </is>
      </c>
    </row>
    <row r="86" hidden="1" outlineLevel="1" ht="30" customHeight="1" s="22">
      <c r="A86" s="47" t="inlineStr">
        <is>
          <t>Training title</t>
        </is>
      </c>
      <c r="B86" s="50" t="inlineStr">
        <is>
          <t>DevOps Mastery</t>
        </is>
      </c>
      <c r="C86" s="41" t="inlineStr">
        <is>
          <t>Text</t>
        </is>
      </c>
      <c r="D86" s="41" t="inlineStr">
        <is>
          <t>Client-facing title</t>
        </is>
      </c>
    </row>
    <row r="87" hidden="1" outlineLevel="1" ht="30" customHeight="1" s="22">
      <c r="A87" s="47" t="inlineStr">
        <is>
          <t>Cloud provider</t>
        </is>
      </c>
      <c r="B87" s="50" t="inlineStr">
        <is>
          <t>AWS</t>
        </is>
      </c>
      <c r="C87" s="41" t="inlineStr">
        <is>
          <t>AWS / Azure / GCP</t>
        </is>
      </c>
      <c r="D87" s="41" t="inlineStr">
        <is>
          <t>Select provider</t>
        </is>
      </c>
    </row>
    <row r="88" hidden="1" outlineLevel="1" ht="30" customHeight="1" s="22">
      <c r="A88" s="47" t="inlineStr">
        <is>
          <t>Region</t>
        </is>
      </c>
      <c r="B88" s="50" t="inlineStr">
        <is>
          <t>Mumbai</t>
        </is>
      </c>
      <c r="C88" s="41" t="inlineStr">
        <is>
          <t>Mumbai / Central India / GCP Mumbai</t>
        </is>
      </c>
      <c r="D88" s="41" t="inlineStr">
        <is>
          <t>Select matching region</t>
        </is>
      </c>
    </row>
    <row r="89" hidden="1" outlineLevel="1" ht="30" customHeight="1" s="22">
      <c r="A89" s="47" t="inlineStr">
        <is>
          <t>Hours per day</t>
        </is>
      </c>
      <c r="B89" s="50" t="n">
        <v>3</v>
      </c>
      <c r="C89" s="41" t="inlineStr">
        <is>
          <t>hours</t>
        </is>
      </c>
      <c r="D89" s="41" t="inlineStr">
        <is>
          <t>Lab runtime per training day</t>
        </is>
      </c>
    </row>
    <row r="90" hidden="1" outlineLevel="1" ht="30" customHeight="1" s="22">
      <c r="A90" s="47" t="inlineStr">
        <is>
          <t>Training days</t>
        </is>
      </c>
      <c r="B90" s="50" t="n">
        <v>20</v>
      </c>
      <c r="C90" s="41" t="inlineStr">
        <is>
          <t>days</t>
        </is>
      </c>
      <c r="D90" s="41" t="inlineStr">
        <is>
          <t>Total training days</t>
        </is>
      </c>
    </row>
    <row r="91" hidden="1" outlineLevel="1" ht="30" customHeight="1" s="22">
      <c r="A91" s="47" t="inlineStr">
        <is>
          <t>Participants</t>
        </is>
      </c>
      <c r="B91" s="50" t="n">
        <v>34</v>
      </c>
      <c r="C91" s="41" t="inlineStr">
        <is>
          <t>people</t>
        </is>
      </c>
      <c r="D91" s="41" t="inlineStr">
        <is>
          <t>Number of learners</t>
        </is>
      </c>
    </row>
    <row r="92" hidden="1" outlineLevel="1" ht="30" customHeight="1" s="22">
      <c r="A92" s="47" t="inlineStr">
        <is>
          <t>Storage GB</t>
        </is>
      </c>
      <c r="B92" s="50" t="n">
        <v>10</v>
      </c>
      <c r="C92" s="41" t="inlineStr">
        <is>
          <t>GB</t>
        </is>
      </c>
      <c r="D92" s="41" t="inlineStr">
        <is>
          <t>Object storage requirement</t>
        </is>
      </c>
    </row>
    <row r="93" hidden="1" outlineLevel="1" ht="30" customHeight="1" s="22">
      <c r="A93" s="47" t="inlineStr">
        <is>
          <t>Data egress GB</t>
        </is>
      </c>
      <c r="B93" s="50" t="n">
        <v>0</v>
      </c>
      <c r="C93" s="41" t="inlineStr">
        <is>
          <t>GB</t>
        </is>
      </c>
      <c r="D93" s="41" t="inlineStr">
        <is>
          <t>Estimated outbound transfer</t>
        </is>
      </c>
    </row>
    <row r="94" hidden="1" outlineLevel="1" ht="30" customHeight="1" s="22">
      <c r="A94" s="47" t="inlineStr">
        <is>
          <t>Build minutes</t>
        </is>
      </c>
      <c r="B94" s="50" t="n">
        <v>0</v>
      </c>
      <c r="C94" s="41" t="inlineStr">
        <is>
          <t>minutes</t>
        </is>
      </c>
      <c r="D94" s="41" t="inlineStr">
        <is>
          <t>CI/CD runner usage</t>
        </is>
      </c>
    </row>
    <row r="95" hidden="1" outlineLevel="1" ht="30" customHeight="1" s="22">
      <c r="A95" s="47" t="inlineStr">
        <is>
          <t>Monitoring GB</t>
        </is>
      </c>
      <c r="B95" s="50" t="n">
        <v>0</v>
      </c>
      <c r="C95" s="41" t="inlineStr">
        <is>
          <t>GB</t>
        </is>
      </c>
      <c r="D95" s="41" t="inlineStr">
        <is>
          <t>Monitoring/log ingestion</t>
        </is>
      </c>
    </row>
    <row r="96" hidden="1" outlineLevel="1" ht="30" customHeight="1" s="22">
      <c r="A96" s="47" t="inlineStr">
        <is>
          <t>Kubernetes worker nodes</t>
        </is>
      </c>
      <c r="B96" s="50" t="n">
        <v>1</v>
      </c>
      <c r="C96" s="41" t="inlineStr">
        <is>
          <t>nodes</t>
        </is>
      </c>
      <c r="D96" s="41" t="inlineStr">
        <is>
          <t>Worker count when Kubernetes is used</t>
        </is>
      </c>
    </row>
    <row r="97" hidden="1" outlineLevel="1" ht="30" customHeight="1" s="22">
      <c r="A97" s="47" t="inlineStr">
        <is>
          <t>USD-to-INR rate</t>
        </is>
      </c>
      <c r="B97" s="50" t="n">
        <v>95.56</v>
      </c>
      <c r="C97" s="41" t="inlineStr">
        <is>
          <t>INR/USD</t>
        </is>
      </c>
      <c r="D97" s="41" t="inlineStr">
        <is>
          <t>Update with current conversion rate</t>
        </is>
      </c>
    </row>
    <row r="98" hidden="1" outlineLevel="1" ht="30" customHeight="1" s="22">
      <c r="A98" s="47" t="inlineStr">
        <is>
          <t>Contingency percentage</t>
        </is>
      </c>
      <c r="B98" s="51" t="n">
        <v>0.1</v>
      </c>
      <c r="C98" s="41" t="inlineStr">
        <is>
          <t>%</t>
        </is>
      </c>
      <c r="D98" s="41" t="inlineStr">
        <is>
          <t>Risk buffer</t>
        </is>
      </c>
    </row>
    <row r="99" hidden="1" outlineLevel="1" ht="30" customHeight="1" s="22">
      <c r="A99" s="47" t="inlineStr">
        <is>
          <t>GST percentage</t>
        </is>
      </c>
      <c r="B99" s="51" t="n">
        <v>0.18</v>
      </c>
      <c r="C99" s="41" t="inlineStr">
        <is>
          <t>%</t>
        </is>
      </c>
      <c r="D99" s="41" t="inlineStr">
        <is>
          <t>India GST assumption</t>
        </is>
      </c>
    </row>
    <row r="100" hidden="1" outlineLevel="1" ht="30" customHeight="1" s="22">
      <c r="A100" s="47" t="inlineStr">
        <is>
          <t>Package</t>
        </is>
      </c>
      <c r="B100" s="50" t="inlineStr">
        <is>
          <t>Standard</t>
        </is>
      </c>
      <c r="C100" s="41" t="inlineStr">
        <is>
          <t>Basic / Standard / Advanced</t>
        </is>
      </c>
      <c r="D100" s="41" t="inlineStr">
        <is>
          <t>Controls support pricing</t>
        </is>
      </c>
    </row>
    <row r="101" hidden="1" outlineLevel="1" ht="30" customHeight="1" s="22">
      <c r="A101" s="47" t="inlineStr">
        <is>
          <t>Quote validity</t>
        </is>
      </c>
      <c r="B101" s="50" t="n">
        <v>7</v>
      </c>
      <c r="C101" s="41" t="inlineStr">
        <is>
          <t>days</t>
        </is>
      </c>
      <c r="D101" s="41" t="inlineStr">
        <is>
          <t>Validity from quote date</t>
        </is>
      </c>
    </row>
    <row r="102" hidden="1" outlineLevel="1" ht="30" customHeight="1" s="22">
      <c r="A102" s="47" t="inlineStr">
        <is>
          <t>Disk GB per VM / worker node</t>
        </is>
      </c>
      <c r="B102" s="50" t="n">
        <v>20</v>
      </c>
      <c r="C102" s="41" t="inlineStr">
        <is>
          <t>GB</t>
        </is>
      </c>
      <c r="D102" s="41" t="inlineStr">
        <is>
          <t>Explicit sizing assumption; replace with lab-template node sizing when supplied</t>
        </is>
      </c>
    </row>
    <row r="103" hidden="1" outlineLevel="1" ht="41.25" customHeight="1" s="22">
      <c r="A103" s="47" t="inlineStr">
        <is>
          <t>Applied support rate (INR / participant-day)</t>
        </is>
      </c>
      <c r="B103" s="50">
        <f>IF(B105="Basic",B106,IF(B105="Standard",B107,B108))</f>
        <v/>
      </c>
      <c r="C103" s="41" t="inlineStr">
        <is>
          <t>INR / participant-day</t>
        </is>
      </c>
      <c r="D103" s="41" t="inlineStr">
        <is>
          <t>Formula selects the applied support tier; total scales with participants and training days</t>
        </is>
      </c>
    </row>
    <row r="104" hidden="1" outlineLevel="1" ht="41.25" customHeight="1" s="22">
      <c r="A104" s="47" t="inlineStr">
        <is>
          <t>Advanced support threshold</t>
        </is>
      </c>
      <c r="B104" s="50" t="n">
        <v>400</v>
      </c>
      <c r="C104" s="41" t="inlineStr">
        <is>
          <t>participant-days</t>
        </is>
      </c>
      <c r="D104" s="41" t="inlineStr">
        <is>
          <t>At or above this engagement size, Standard is automatically quoted as Advanced support</t>
        </is>
      </c>
    </row>
    <row r="105" hidden="1" outlineLevel="1" ht="30" customHeight="1" s="22">
      <c r="A105" s="47" t="inlineStr">
        <is>
          <t>Applied support tier</t>
        </is>
      </c>
      <c r="B105" s="50">
        <f>IF(AND(B100="Standard",B91*B90&gt;=B104),"Advanced",B100)</f>
        <v/>
      </c>
      <c r="C105" s="41" t="inlineStr">
        <is>
          <t>tier</t>
        </is>
      </c>
      <c r="D105" s="41" t="inlineStr">
        <is>
          <t>Uses participant count × training days</t>
        </is>
      </c>
    </row>
    <row r="106" hidden="1" outlineLevel="1" ht="30" customHeight="1" s="22">
      <c r="A106" s="47" t="inlineStr">
        <is>
          <t>Basic support rate</t>
        </is>
      </c>
      <c r="B106" s="50" t="n">
        <v>0</v>
      </c>
      <c r="C106" s="41" t="inlineStr">
        <is>
          <t>INR / participant-day</t>
        </is>
      </c>
      <c r="D106" s="41" t="inlineStr">
        <is>
          <t>Editable commercial rate</t>
        </is>
      </c>
    </row>
    <row r="107" hidden="1" outlineLevel="1" ht="30" customHeight="1" s="22">
      <c r="A107" s="47" t="inlineStr">
        <is>
          <t>Standard support rate</t>
        </is>
      </c>
      <c r="B107" s="50" t="n">
        <v>0</v>
      </c>
      <c r="C107" s="41" t="inlineStr">
        <is>
          <t>INR / participant-day</t>
        </is>
      </c>
      <c r="D107" s="41" t="inlineStr">
        <is>
          <t>Editable commercial rate</t>
        </is>
      </c>
    </row>
    <row r="108" hidden="1" outlineLevel="1" ht="30" customHeight="1" s="22">
      <c r="A108" s="47" t="inlineStr">
        <is>
          <t>Advanced support rate</t>
        </is>
      </c>
      <c r="B108" s="50" t="n">
        <v>0</v>
      </c>
      <c r="C108" s="41" t="inlineStr">
        <is>
          <t>INR / participant-day</t>
        </is>
      </c>
      <c r="D108" s="41" t="inlineStr">
        <is>
          <t>Editable commercial rate</t>
        </is>
      </c>
    </row>
    <row r="109" hidden="1" outlineLevel="1" ht="54.75" customHeight="1" s="22">
      <c r="A109" s="47" t="inlineStr">
        <is>
          <t>VM profile pricing status</t>
        </is>
      </c>
      <c r="B109" s="50" t="inlineStr">
        <is>
          <t>Live profile rates supplied</t>
        </is>
      </c>
      <c r="C109" s="41" t="inlineStr">
        <is>
          <t>2026-09-15T09:05:32.395861+00:00</t>
        </is>
      </c>
      <c r="D109" s="41" t="inlineStr">
        <is>
          <t>Enter vm_profile_rates and vm_profile_sources with current provider URLs before final client approval</t>
        </is>
      </c>
    </row>
    <row r="110" hidden="1" outlineLevel="1" ht="41.25" customHeight="1" s="22">
      <c r="A110" s="47" t="inlineStr">
        <is>
          <t>Rate snapshot ID</t>
        </is>
      </c>
      <c r="B110" s="50" t="inlineStr">
        <is>
          <t>LCQ-F7258247C914450F8AF0968F2B54C55C</t>
        </is>
      </c>
      <c r="C110" s="41" t="inlineStr">
        <is>
          <t>audit ID</t>
        </is>
      </c>
      <c r="D110" s="41" t="inlineStr">
        <is>
          <t>Use this ID to retrieve the rate snapshot and calculation record</t>
        </is>
      </c>
    </row>
    <row r="111" hidden="1" outlineLevel="1" ht="30" customHeight="1" s="22">
      <c r="A111" s="47" t="inlineStr">
        <is>
          <t>Pricing status</t>
        </is>
      </c>
      <c r="B111" s="50" t="inlineStr">
        <is>
          <t>provider_api_verified_public_retail</t>
        </is>
      </c>
      <c r="C111" s="41" t="inlineStr">
        <is>
          <t>status</t>
        </is>
      </c>
      <c r="D111" s="41" t="inlineStr">
        <is>
          <t>Live SKU rates and official source URLs are required before final client approval</t>
        </is>
      </c>
    </row>
    <row r="112" hidden="1" outlineLevel="1" ht="68.25" customHeight="1" s="22">
      <c r="A112" s="47" t="inlineStr">
        <is>
          <t>Rate source</t>
        </is>
      </c>
      <c r="B112" s="50" t="inlineStr">
        <is>
          <t>https://pricing.us-east-1.amazonaws.com/offers/v1.0/aws/AmazonEC2/current/ap-south-1/index.csv</t>
        </is>
      </c>
      <c r="C112" s="41" t="inlineStr">
        <is>
          <t>URL</t>
        </is>
      </c>
      <c r="D112" s="41" t="inlineStr">
        <is>
          <t>Official provider pricing page or approved pricing-export URL</t>
        </is>
      </c>
    </row>
    <row r="113" hidden="1" outlineLevel="1" ht="41.25" customHeight="1" s="22">
      <c r="A113" s="47" t="inlineStr">
        <is>
          <t>Rates checked at (UTC)</t>
        </is>
      </c>
      <c r="B113" s="50" t="inlineStr">
        <is>
          <t>2026-09-15T09:05:32.395861+00:00</t>
        </is>
      </c>
      <c r="C113" s="41" t="inlineStr">
        <is>
          <t>timestamp</t>
        </is>
      </c>
      <c r="D113" s="41" t="inlineStr">
        <is>
          <t>Rate snapshot timestamp</t>
        </is>
      </c>
    </row>
    <row r="114" hidden="1" outlineLevel="1" ht="41.25" customHeight="1" s="22">
      <c r="A114" s="47" t="inlineStr">
        <is>
          <t>Quote valid until (UTC)</t>
        </is>
      </c>
      <c r="B114" s="50" t="inlineStr">
        <is>
          <t>2026-09-22T09:05:32.395861+00:00</t>
        </is>
      </c>
      <c r="C114" s="41" t="inlineStr">
        <is>
          <t>timestamp</t>
        </is>
      </c>
      <c r="D114" s="41" t="inlineStr">
        <is>
          <t>Recalculate from current rates after this time</t>
        </is>
      </c>
    </row>
    <row r="115" hidden="1" outlineLevel="1" ht="30" customHeight="1" s="22">
      <c r="A115" s="47" t="inlineStr">
        <is>
          <t>Price-change review threshold</t>
        </is>
      </c>
      <c r="B115" s="50" t="n">
        <v>5</v>
      </c>
      <c r="C115" s="41" t="inlineStr">
        <is>
          <t>%</t>
        </is>
      </c>
      <c r="D115" s="41" t="inlineStr">
        <is>
          <t>Escalate for review when refreshed pricing changes beyond this threshold</t>
        </is>
      </c>
    </row>
    <row r="116" hidden="1" outlineLevel="1" ht="41.25" customHeight="1" s="22">
      <c r="A116" s="47" t="inlineStr">
        <is>
          <t>Lab architecture</t>
        </is>
      </c>
      <c r="B116" s="50" t="inlineStr">
        <is>
          <t>Caller-supplied per-day resource mapping</t>
        </is>
      </c>
      <c r="C116" s="41" t="inlineStr">
        <is>
          <t>assumption</t>
        </is>
      </c>
      <c r="D116" s="41" t="inlineStr">
        <is>
          <t>Quantities are total resources; learner VMs scale with participants, shared services do not</t>
        </is>
      </c>
    </row>
    <row r="117" hidden="1" outlineLevel="1" ht="30" customHeight="1" s="22">
      <c r="A117" s="47" t="inlineStr">
        <is>
          <t>FX status</t>
        </is>
      </c>
      <c r="B117" s="50" t="inlineStr">
        <is>
          <t>User-supplied assumption</t>
        </is>
      </c>
      <c r="C117" s="41" t="inlineStr">
        <is>
          <t>status</t>
        </is>
      </c>
      <c r="D117" s="41" t="inlineStr">
        <is>
          <t>USD/INR is not verified by the cloud price lookup; confirm before approval</t>
        </is>
      </c>
    </row>
    <row r="118" hidden="1" outlineLevel="1" ht="41.25" customHeight="1" s="22">
      <c r="A118" s="47" t="inlineStr">
        <is>
          <t>Support pricing status</t>
        </is>
      </c>
      <c r="B118" s="50" t="inlineStr">
        <is>
          <t>Unconfigured / zero charge</t>
        </is>
      </c>
      <c r="C118" s="41" t="inlineStr">
        <is>
          <t>status</t>
        </is>
      </c>
      <c r="D118" s="41" t="inlineStr">
        <is>
          <t>No support price is invented. Confirm the applied tier rate before client approval</t>
        </is>
      </c>
    </row>
    <row r="119" hidden="1" outlineLevel="1" ht="54.75" customHeight="1" s="22">
      <c r="A119" s="47" t="inlineStr">
        <is>
          <t>Quote approval status</t>
        </is>
      </c>
      <c r="B119" s="50" t="inlineStr">
        <is>
          <t>Draft — commercial review required</t>
        </is>
      </c>
      <c r="C119" s="41" t="inlineStr">
        <is>
          <t>status</t>
        </is>
      </c>
      <c r="D119" s="41" t="inlineStr">
        <is>
          <t>Provider verification covers selected resource rates only; confirm architecture, access hours, support, FX, taxes and exclusions</t>
        </is>
      </c>
    </row>
    <row r="120" ht="20" customHeight="1" s="22"/>
    <row r="121" ht="20" customHeight="1" s="22"/>
    <row r="122" ht="20" customHeight="1" s="22">
      <c r="A122" s="38" t="inlineStr">
        <is>
          <t>AWS — Rate Card</t>
        </is>
      </c>
    </row>
    <row r="123" hidden="1" outlineLevel="1" ht="30" customHeight="1" s="22">
      <c r="A123" s="39" t="inlineStr">
        <is>
          <t>Rate Card – Editable Provider Pricing</t>
        </is>
      </c>
    </row>
    <row r="124" hidden="1" outlineLevel="1" ht="30" customHeight="1" s="22"/>
    <row r="125" hidden="1" outlineLevel="1" ht="30" customHeight="1" s="22">
      <c r="A125" s="40" t="inlineStr">
        <is>
          <t>Provider</t>
        </is>
      </c>
      <c r="B125" s="40" t="inlineStr">
        <is>
          <t>Region</t>
        </is>
      </c>
      <c r="C125" s="40" t="inlineStr">
        <is>
          <t>Resource</t>
        </is>
      </c>
      <c r="D125" s="40" t="inlineStr">
        <is>
          <t>Billing unit</t>
        </is>
      </c>
      <c r="E125" s="40" t="inlineStr">
        <is>
          <t>USD rate</t>
        </is>
      </c>
      <c r="F125" s="40" t="inlineStr">
        <is>
          <t>INR rate</t>
        </is>
      </c>
      <c r="G125" s="40" t="inlineStr">
        <is>
          <t>Source URL</t>
        </is>
      </c>
      <c r="H125" s="40" t="inlineStr">
        <is>
          <t>Last verified date</t>
        </is>
      </c>
    </row>
    <row r="126" hidden="1" outlineLevel="1" ht="41.25" customHeight="1" s="22">
      <c r="A126" s="41" t="inlineStr">
        <is>
          <t>AWS</t>
        </is>
      </c>
      <c r="B126" s="41" t="inlineStr">
        <is>
          <t>Mumbai</t>
        </is>
      </c>
      <c r="C126" s="41" t="inlineStr">
        <is>
          <t>VM</t>
        </is>
      </c>
      <c r="D126" s="41" t="inlineStr">
        <is>
          <t>per hour</t>
        </is>
      </c>
      <c r="E126" s="52" t="n">
        <v>0.0448</v>
      </c>
      <c r="F126" s="42">
        <f>E126*$B$97</f>
        <v/>
      </c>
      <c r="G126" s="41" t="inlineStr">
        <is>
          <t>https://pricing.us-east-1.amazonaws.com/offers/v1.0/aws/AmazonEC2/current/ap-south-1/index.csv</t>
        </is>
      </c>
      <c r="H126" s="53" t="inlineStr">
        <is>
          <t>2026-09-15T09:05:32.395861+00:00</t>
        </is>
      </c>
    </row>
    <row r="127" hidden="1" outlineLevel="1" ht="41.25" customHeight="1" s="22">
      <c r="A127" s="41" t="inlineStr">
        <is>
          <t>AWS</t>
        </is>
      </c>
      <c r="B127" s="41" t="inlineStr">
        <is>
          <t>Mumbai</t>
        </is>
      </c>
      <c r="C127" s="41" t="inlineStr">
        <is>
          <t>Kubernetes control plane</t>
        </is>
      </c>
      <c r="D127" s="41" t="inlineStr">
        <is>
          <t>per cluster-hour</t>
        </is>
      </c>
      <c r="E127" s="52" t="n">
        <v>0.1</v>
      </c>
      <c r="F127" s="42">
        <f>E127*$B$97</f>
        <v/>
      </c>
      <c r="G127" s="41" t="inlineStr">
        <is>
          <t>https://pricing.us-east-1.amazonaws.com/offers/v1.0/aws/AmazonEKS/current/ap-south-1/index.csv</t>
        </is>
      </c>
      <c r="H127" s="53" t="inlineStr">
        <is>
          <t>2026-09-15T09:05:32.395861+00:00</t>
        </is>
      </c>
    </row>
    <row r="128" hidden="1" outlineLevel="1" ht="41.25" customHeight="1" s="22">
      <c r="A128" s="41" t="inlineStr">
        <is>
          <t>AWS</t>
        </is>
      </c>
      <c r="B128" s="41" t="inlineStr">
        <is>
          <t>Mumbai</t>
        </is>
      </c>
      <c r="C128" s="41" t="inlineStr">
        <is>
          <t>Kubernetes worker</t>
        </is>
      </c>
      <c r="D128" s="41" t="inlineStr">
        <is>
          <t>per VM-hour</t>
        </is>
      </c>
      <c r="E128" s="52" t="n">
        <v>0.1792</v>
      </c>
      <c r="F128" s="42">
        <f>E128*$B$97</f>
        <v/>
      </c>
      <c r="G128" s="41" t="inlineStr">
        <is>
          <t>https://pricing.us-east-1.amazonaws.com/offers/v1.0/aws/AmazonEC2/current/ap-south-1/index.csv</t>
        </is>
      </c>
      <c r="H128" s="53" t="inlineStr">
        <is>
          <t>2026-09-15T09:05:32.395861+00:00</t>
        </is>
      </c>
    </row>
    <row r="129" hidden="1" outlineLevel="1" ht="41.25" customHeight="1" s="22">
      <c r="A129" s="41" t="inlineStr">
        <is>
          <t>AWS</t>
        </is>
      </c>
      <c r="B129" s="41" t="inlineStr">
        <is>
          <t>Mumbai</t>
        </is>
      </c>
      <c r="C129" s="41" t="inlineStr">
        <is>
          <t>Disk</t>
        </is>
      </c>
      <c r="D129" s="41" t="inlineStr">
        <is>
          <t>GB-month</t>
        </is>
      </c>
      <c r="E129" s="52" t="n">
        <v>0.0912</v>
      </c>
      <c r="F129" s="42">
        <f>E129*$B$97</f>
        <v/>
      </c>
      <c r="G129" s="41" t="inlineStr">
        <is>
          <t>https://pricing.us-east-1.amazonaws.com/offers/v1.0/aws/AmazonEC2/current/ap-south-1/index.csv</t>
        </is>
      </c>
      <c r="H129" s="53" t="inlineStr">
        <is>
          <t>2026-09-15T09:05:32.395861+00:00</t>
        </is>
      </c>
    </row>
    <row r="130" hidden="1" outlineLevel="1" ht="41.25" customHeight="1" s="22">
      <c r="A130" s="41" t="inlineStr">
        <is>
          <t>AWS</t>
        </is>
      </c>
      <c r="B130" s="41" t="inlineStr">
        <is>
          <t>Mumbai</t>
        </is>
      </c>
      <c r="C130" s="41" t="inlineStr">
        <is>
          <t>Storage</t>
        </is>
      </c>
      <c r="D130" s="41" t="inlineStr">
        <is>
          <t>GB-month</t>
        </is>
      </c>
      <c r="E130" s="52" t="n">
        <v>0.025</v>
      </c>
      <c r="F130" s="42">
        <f>E130*$B$97</f>
        <v/>
      </c>
      <c r="G130" s="41" t="inlineStr">
        <is>
          <t>https://pricing.us-east-1.amazonaws.com/offers/v1.0/aws/AmazonS3/current/ap-south-1/index.csv</t>
        </is>
      </c>
      <c r="H130" s="53" t="inlineStr">
        <is>
          <t>2026-09-15T09:05:32.395861+00:00</t>
        </is>
      </c>
    </row>
    <row r="131" hidden="1" outlineLevel="1" ht="41.25" customHeight="1" s="22">
      <c r="A131" s="41" t="inlineStr">
        <is>
          <t>AWS</t>
        </is>
      </c>
      <c r="B131" s="41" t="inlineStr">
        <is>
          <t>Mumbai</t>
        </is>
      </c>
      <c r="C131" s="41" t="inlineStr">
        <is>
          <t>Egress</t>
        </is>
      </c>
      <c r="D131" s="41" t="inlineStr">
        <is>
          <t>per GB</t>
        </is>
      </c>
      <c r="E131" s="52" t="n">
        <v>0</v>
      </c>
      <c r="F131" s="42">
        <f>E131*$B$97</f>
        <v/>
      </c>
      <c r="G131" s="41" t="inlineStr">
        <is>
          <t>https://aws.amazon.com/pricing/</t>
        </is>
      </c>
      <c r="H131" s="53" t="inlineStr">
        <is>
          <t>2026-09-15T09:05:32.395861+00:00</t>
        </is>
      </c>
    </row>
    <row r="132" hidden="1" outlineLevel="1" ht="41.25" customHeight="1" s="22">
      <c r="A132" s="41" t="inlineStr">
        <is>
          <t>AWS</t>
        </is>
      </c>
      <c r="B132" s="41" t="inlineStr">
        <is>
          <t>Mumbai</t>
        </is>
      </c>
      <c r="C132" s="41" t="inlineStr">
        <is>
          <t>Build runner</t>
        </is>
      </c>
      <c r="D132" s="41" t="inlineStr">
        <is>
          <t>per build minute</t>
        </is>
      </c>
      <c r="E132" s="52" t="n">
        <v>0</v>
      </c>
      <c r="F132" s="42">
        <f>E132*$B$97</f>
        <v/>
      </c>
      <c r="G132" s="41" t="inlineStr">
        <is>
          <t>https://aws.amazon.com/pricing/</t>
        </is>
      </c>
      <c r="H132" s="53" t="inlineStr">
        <is>
          <t>2026-09-15T09:05:32.395861+00:00</t>
        </is>
      </c>
    </row>
    <row r="133" hidden="1" outlineLevel="1" ht="41.25" customHeight="1" s="22">
      <c r="A133" s="41" t="inlineStr">
        <is>
          <t>AWS</t>
        </is>
      </c>
      <c r="B133" s="41" t="inlineStr">
        <is>
          <t>Mumbai</t>
        </is>
      </c>
      <c r="C133" s="41" t="inlineStr">
        <is>
          <t>Managed database</t>
        </is>
      </c>
      <c r="D133" s="41" t="inlineStr">
        <is>
          <t>per hour</t>
        </is>
      </c>
      <c r="E133" s="52" t="n">
        <v>0</v>
      </c>
      <c r="F133" s="42">
        <f>E133*$B$97</f>
        <v/>
      </c>
      <c r="G133" s="41" t="inlineStr">
        <is>
          <t>https://aws.amazon.com/pricing/</t>
        </is>
      </c>
      <c r="H133" s="53" t="inlineStr">
        <is>
          <t>2026-09-15T09:05:32.395861+00:00</t>
        </is>
      </c>
    </row>
    <row r="134" hidden="1" outlineLevel="1" ht="41.25" customHeight="1" s="22">
      <c r="A134" s="41" t="inlineStr">
        <is>
          <t>AWS</t>
        </is>
      </c>
      <c r="B134" s="41" t="inlineStr">
        <is>
          <t>Mumbai</t>
        </is>
      </c>
      <c r="C134" s="41" t="inlineStr">
        <is>
          <t>Monitoring</t>
        </is>
      </c>
      <c r="D134" s="41" t="inlineStr">
        <is>
          <t>per GB</t>
        </is>
      </c>
      <c r="E134" s="52" t="n">
        <v>0</v>
      </c>
      <c r="F134" s="42">
        <f>E134*$B$97</f>
        <v/>
      </c>
      <c r="G134" s="41" t="inlineStr">
        <is>
          <t>https://aws.amazon.com/pricing/</t>
        </is>
      </c>
      <c r="H134" s="53" t="inlineStr">
        <is>
          <t>2026-09-15T09:05:32.395861+00:00</t>
        </is>
      </c>
    </row>
    <row r="135" hidden="1" outlineLevel="1" ht="30" customHeight="1" s="22">
      <c r="A135" s="41" t="inlineStr">
        <is>
          <t>Azure</t>
        </is>
      </c>
      <c r="B135" s="41" t="inlineStr">
        <is>
          <t>Central India</t>
        </is>
      </c>
      <c r="C135" s="41" t="inlineStr">
        <is>
          <t>VM</t>
        </is>
      </c>
      <c r="D135" s="41" t="inlineStr">
        <is>
          <t>per hour</t>
        </is>
      </c>
      <c r="G135" s="41" t="inlineStr">
        <is>
          <t>https://azure.microsoft.com/pricing/details/virtual-machines/</t>
        </is>
      </c>
      <c r="H135" s="53" t="inlineStr">
        <is>
          <t>Not priced for this quote</t>
        </is>
      </c>
    </row>
    <row r="136" hidden="1" outlineLevel="1" ht="30" customHeight="1" s="22">
      <c r="A136" s="41" t="inlineStr">
        <is>
          <t>Azure</t>
        </is>
      </c>
      <c r="B136" s="41" t="inlineStr">
        <is>
          <t>Central India</t>
        </is>
      </c>
      <c r="C136" s="41" t="inlineStr">
        <is>
          <t>Kubernetes control plane</t>
        </is>
      </c>
      <c r="D136" s="41" t="inlineStr">
        <is>
          <t>per cluster-hour</t>
        </is>
      </c>
      <c r="G136" s="41" t="inlineStr">
        <is>
          <t>https://azure.microsoft.com/pricing/details/kubernetes-service/</t>
        </is>
      </c>
      <c r="H136" s="53" t="inlineStr">
        <is>
          <t>Not priced for this quote</t>
        </is>
      </c>
    </row>
    <row r="137" hidden="1" outlineLevel="1" ht="30" customHeight="1" s="22">
      <c r="A137" s="41" t="inlineStr">
        <is>
          <t>Azure</t>
        </is>
      </c>
      <c r="B137" s="41" t="inlineStr">
        <is>
          <t>Central India</t>
        </is>
      </c>
      <c r="C137" s="41" t="inlineStr">
        <is>
          <t>Kubernetes worker</t>
        </is>
      </c>
      <c r="D137" s="41" t="inlineStr">
        <is>
          <t>per VM-hour</t>
        </is>
      </c>
      <c r="G137" s="41" t="inlineStr">
        <is>
          <t>https://azure.microsoft.com/pricing/details/virtual-machines/</t>
        </is>
      </c>
      <c r="H137" s="53" t="inlineStr">
        <is>
          <t>Not priced for this quote</t>
        </is>
      </c>
    </row>
    <row r="138" hidden="1" outlineLevel="1" ht="30" customHeight="1" s="22">
      <c r="A138" s="41" t="inlineStr">
        <is>
          <t>Azure</t>
        </is>
      </c>
      <c r="B138" s="41" t="inlineStr">
        <is>
          <t>Central India</t>
        </is>
      </c>
      <c r="C138" s="41" t="inlineStr">
        <is>
          <t>Disk</t>
        </is>
      </c>
      <c r="D138" s="41" t="inlineStr">
        <is>
          <t>GB-month</t>
        </is>
      </c>
      <c r="G138" s="41" t="inlineStr">
        <is>
          <t>https://azure.microsoft.com/pricing/details/managed-disks/</t>
        </is>
      </c>
      <c r="H138" s="53" t="inlineStr">
        <is>
          <t>Not priced for this quote</t>
        </is>
      </c>
    </row>
    <row r="139" hidden="1" outlineLevel="1" ht="30" customHeight="1" s="22">
      <c r="A139" s="41" t="inlineStr">
        <is>
          <t>Azure</t>
        </is>
      </c>
      <c r="B139" s="41" t="inlineStr">
        <is>
          <t>Central India</t>
        </is>
      </c>
      <c r="C139" s="41" t="inlineStr">
        <is>
          <t>Storage</t>
        </is>
      </c>
      <c r="D139" s="41" t="inlineStr">
        <is>
          <t>GB-month</t>
        </is>
      </c>
      <c r="G139" s="41" t="inlineStr">
        <is>
          <t>https://azure.microsoft.com/pricing/details/storage/blobs/</t>
        </is>
      </c>
      <c r="H139" s="53" t="inlineStr">
        <is>
          <t>Not priced for this quote</t>
        </is>
      </c>
    </row>
    <row r="140" hidden="1" outlineLevel="1" ht="30" customHeight="1" s="22">
      <c r="A140" s="41" t="inlineStr">
        <is>
          <t>Azure</t>
        </is>
      </c>
      <c r="B140" s="41" t="inlineStr">
        <is>
          <t>Central India</t>
        </is>
      </c>
      <c r="C140" s="41" t="inlineStr">
        <is>
          <t>Egress</t>
        </is>
      </c>
      <c r="D140" s="41" t="inlineStr">
        <is>
          <t>per GB</t>
        </is>
      </c>
      <c r="G140" s="41" t="inlineStr">
        <is>
          <t>https://azure.microsoft.com/pricing/details/bandwidth/</t>
        </is>
      </c>
      <c r="H140" s="53" t="inlineStr">
        <is>
          <t>Not priced for this quote</t>
        </is>
      </c>
    </row>
    <row r="141" hidden="1" outlineLevel="1" ht="30" customHeight="1" s="22">
      <c r="A141" s="41" t="inlineStr">
        <is>
          <t>Azure</t>
        </is>
      </c>
      <c r="B141" s="41" t="inlineStr">
        <is>
          <t>Central India</t>
        </is>
      </c>
      <c r="C141" s="41" t="inlineStr">
        <is>
          <t>Build runner</t>
        </is>
      </c>
      <c r="D141" s="41" t="inlineStr">
        <is>
          <t>per build minute</t>
        </is>
      </c>
      <c r="G141" s="41" t="inlineStr">
        <is>
          <t>https://azure.microsoft.com/pricing/details/devops/azure-devops-services/</t>
        </is>
      </c>
      <c r="H141" s="53" t="inlineStr">
        <is>
          <t>Not priced for this quote</t>
        </is>
      </c>
    </row>
    <row r="142" hidden="1" outlineLevel="1" ht="30" customHeight="1" s="22">
      <c r="A142" s="41" t="inlineStr">
        <is>
          <t>Azure</t>
        </is>
      </c>
      <c r="B142" s="41" t="inlineStr">
        <is>
          <t>Central India</t>
        </is>
      </c>
      <c r="C142" s="41" t="inlineStr">
        <is>
          <t>Managed database</t>
        </is>
      </c>
      <c r="D142" s="41" t="inlineStr">
        <is>
          <t>per hour</t>
        </is>
      </c>
      <c r="G142" s="41" t="inlineStr">
        <is>
          <t>https://azure.microsoft.com/pricing/details/azure-sql-database/</t>
        </is>
      </c>
      <c r="H142" s="53" t="inlineStr">
        <is>
          <t>Not priced for this quote</t>
        </is>
      </c>
    </row>
    <row r="143" hidden="1" outlineLevel="1" ht="30" customHeight="1" s="22">
      <c r="A143" s="41" t="inlineStr">
        <is>
          <t>Azure</t>
        </is>
      </c>
      <c r="B143" s="41" t="inlineStr">
        <is>
          <t>Central India</t>
        </is>
      </c>
      <c r="C143" s="41" t="inlineStr">
        <is>
          <t>Monitoring</t>
        </is>
      </c>
      <c r="D143" s="41" t="inlineStr">
        <is>
          <t>per GB</t>
        </is>
      </c>
      <c r="G143" s="41" t="inlineStr">
        <is>
          <t>https://azure.microsoft.com/pricing/details/monitor/</t>
        </is>
      </c>
      <c r="H143" s="53" t="inlineStr">
        <is>
          <t>Not priced for this quote</t>
        </is>
      </c>
    </row>
    <row r="144" hidden="1" outlineLevel="1" ht="30" customHeight="1" s="22">
      <c r="A144" s="41" t="inlineStr">
        <is>
          <t>GCP</t>
        </is>
      </c>
      <c r="B144" s="41" t="inlineStr">
        <is>
          <t>GCP Mumbai</t>
        </is>
      </c>
      <c r="C144" s="41" t="inlineStr">
        <is>
          <t>VM</t>
        </is>
      </c>
      <c r="D144" s="41" t="inlineStr">
        <is>
          <t>per hour</t>
        </is>
      </c>
      <c r="G144" s="41" t="inlineStr">
        <is>
          <t>https://cloud.google.com/compute/vm-instance-pricing</t>
        </is>
      </c>
      <c r="H144" s="53" t="inlineStr">
        <is>
          <t>Not priced for this quote</t>
        </is>
      </c>
    </row>
    <row r="145" hidden="1" outlineLevel="1" ht="30" customHeight="1" s="22">
      <c r="A145" s="41" t="inlineStr">
        <is>
          <t>GCP</t>
        </is>
      </c>
      <c r="B145" s="41" t="inlineStr">
        <is>
          <t>GCP Mumbai</t>
        </is>
      </c>
      <c r="C145" s="41" t="inlineStr">
        <is>
          <t>Kubernetes control plane</t>
        </is>
      </c>
      <c r="D145" s="41" t="inlineStr">
        <is>
          <t>per cluster-hour</t>
        </is>
      </c>
      <c r="G145" s="41" t="inlineStr">
        <is>
          <t>https://cloud.google.com/kubernetes-engine/pricing</t>
        </is>
      </c>
      <c r="H145" s="53" t="inlineStr">
        <is>
          <t>Not priced for this quote</t>
        </is>
      </c>
    </row>
    <row r="146" hidden="1" outlineLevel="1" ht="30" customHeight="1" s="22">
      <c r="A146" s="41" t="inlineStr">
        <is>
          <t>GCP</t>
        </is>
      </c>
      <c r="B146" s="41" t="inlineStr">
        <is>
          <t>GCP Mumbai</t>
        </is>
      </c>
      <c r="C146" s="41" t="inlineStr">
        <is>
          <t>Kubernetes worker</t>
        </is>
      </c>
      <c r="D146" s="41" t="inlineStr">
        <is>
          <t>per VM-hour</t>
        </is>
      </c>
      <c r="G146" s="41" t="inlineStr">
        <is>
          <t>https://cloud.google.com/compute/vm-instance-pricing</t>
        </is>
      </c>
      <c r="H146" s="53" t="inlineStr">
        <is>
          <t>Not priced for this quote</t>
        </is>
      </c>
    </row>
    <row r="147" hidden="1" outlineLevel="1" ht="30" customHeight="1" s="22">
      <c r="A147" s="41" t="inlineStr">
        <is>
          <t>GCP</t>
        </is>
      </c>
      <c r="B147" s="41" t="inlineStr">
        <is>
          <t>GCP Mumbai</t>
        </is>
      </c>
      <c r="C147" s="41" t="inlineStr">
        <is>
          <t>Disk</t>
        </is>
      </c>
      <c r="D147" s="41" t="inlineStr">
        <is>
          <t>GB-month</t>
        </is>
      </c>
      <c r="G147" s="41" t="inlineStr">
        <is>
          <t>https://cloud.google.com/compute/disks-image-pricing</t>
        </is>
      </c>
      <c r="H147" s="53" t="inlineStr">
        <is>
          <t>Not priced for this quote</t>
        </is>
      </c>
    </row>
    <row r="148" hidden="1" outlineLevel="1" ht="30" customHeight="1" s="22">
      <c r="A148" s="41" t="inlineStr">
        <is>
          <t>GCP</t>
        </is>
      </c>
      <c r="B148" s="41" t="inlineStr">
        <is>
          <t>GCP Mumbai</t>
        </is>
      </c>
      <c r="C148" s="41" t="inlineStr">
        <is>
          <t>Storage</t>
        </is>
      </c>
      <c r="D148" s="41" t="inlineStr">
        <is>
          <t>GB-month</t>
        </is>
      </c>
      <c r="G148" s="41" t="inlineStr">
        <is>
          <t>https://cloud.google.com/storage/pricing</t>
        </is>
      </c>
      <c r="H148" s="53" t="inlineStr">
        <is>
          <t>Not priced for this quote</t>
        </is>
      </c>
    </row>
    <row r="149" hidden="1" outlineLevel="1" ht="30" customHeight="1" s="22">
      <c r="A149" s="41" t="inlineStr">
        <is>
          <t>GCP</t>
        </is>
      </c>
      <c r="B149" s="41" t="inlineStr">
        <is>
          <t>GCP Mumbai</t>
        </is>
      </c>
      <c r="C149" s="41" t="inlineStr">
        <is>
          <t>Egress</t>
        </is>
      </c>
      <c r="D149" s="41" t="inlineStr">
        <is>
          <t>per GB</t>
        </is>
      </c>
      <c r="G149" s="41" t="inlineStr">
        <is>
          <t>https://cloud.google.com/vpc/network-pricing</t>
        </is>
      </c>
      <c r="H149" s="53" t="inlineStr">
        <is>
          <t>Not priced for this quote</t>
        </is>
      </c>
    </row>
    <row r="150" hidden="1" outlineLevel="1" ht="30" customHeight="1" s="22">
      <c r="A150" s="41" t="inlineStr">
        <is>
          <t>GCP</t>
        </is>
      </c>
      <c r="B150" s="41" t="inlineStr">
        <is>
          <t>GCP Mumbai</t>
        </is>
      </c>
      <c r="C150" s="41" t="inlineStr">
        <is>
          <t>Build runner</t>
        </is>
      </c>
      <c r="D150" s="41" t="inlineStr">
        <is>
          <t>per build minute</t>
        </is>
      </c>
      <c r="G150" s="41" t="inlineStr">
        <is>
          <t>https://cloud.google.com/build/pricing</t>
        </is>
      </c>
      <c r="H150" s="53" t="inlineStr">
        <is>
          <t>Not priced for this quote</t>
        </is>
      </c>
    </row>
    <row r="151" hidden="1" outlineLevel="1" ht="30" customHeight="1" s="22">
      <c r="A151" s="41" t="inlineStr">
        <is>
          <t>GCP</t>
        </is>
      </c>
      <c r="B151" s="41" t="inlineStr">
        <is>
          <t>GCP Mumbai</t>
        </is>
      </c>
      <c r="C151" s="41" t="inlineStr">
        <is>
          <t>Managed database</t>
        </is>
      </c>
      <c r="D151" s="41" t="inlineStr">
        <is>
          <t>per hour</t>
        </is>
      </c>
      <c r="G151" s="41" t="inlineStr">
        <is>
          <t>https://cloud.google.com/sql/pricing</t>
        </is>
      </c>
      <c r="H151" s="53" t="inlineStr">
        <is>
          <t>Not priced for this quote</t>
        </is>
      </c>
    </row>
    <row r="152" hidden="1" outlineLevel="1" ht="30" customHeight="1" s="22">
      <c r="A152" s="41" t="inlineStr">
        <is>
          <t>GCP</t>
        </is>
      </c>
      <c r="B152" s="41" t="inlineStr">
        <is>
          <t>GCP Mumbai</t>
        </is>
      </c>
      <c r="C152" s="41" t="inlineStr">
        <is>
          <t>Monitoring</t>
        </is>
      </c>
      <c r="D152" s="41" t="inlineStr">
        <is>
          <t>per GB</t>
        </is>
      </c>
      <c r="G152" s="41" t="inlineStr">
        <is>
          <t>https://cloud.google.com/stackdriver/pricing</t>
        </is>
      </c>
      <c r="H152" s="53" t="inlineStr">
        <is>
          <t>Not priced for this quote</t>
        </is>
      </c>
    </row>
    <row r="153" hidden="1" outlineLevel="1" ht="41.25" customHeight="1" s="22">
      <c r="A153" s="41" t="inlineStr">
        <is>
          <t>AWS</t>
        </is>
      </c>
      <c r="B153" s="41" t="inlineStr">
        <is>
          <t>Mumbai</t>
        </is>
      </c>
      <c r="C153" s="41" t="inlineStr">
        <is>
          <t>VM Light</t>
        </is>
      </c>
      <c r="D153" s="41" t="inlineStr">
        <is>
          <t>per hour</t>
        </is>
      </c>
      <c r="E153" s="52" t="n">
        <v>0.0448</v>
      </c>
      <c r="F153" s="42">
        <f>E153*$B$97</f>
        <v/>
      </c>
      <c r="G153" s="41" t="inlineStr">
        <is>
          <t>https://pricing.us-east-1.amazonaws.com/offers/v1.0/aws/AmazonEC2/current/ap-south-1/index.csv</t>
        </is>
      </c>
      <c r="H153" s="53" t="inlineStr">
        <is>
          <t>2026-09-15T09:05:32.395861+00:00</t>
        </is>
      </c>
    </row>
    <row r="154" hidden="1" outlineLevel="1" ht="41.25" customHeight="1" s="22">
      <c r="A154" s="41" t="inlineStr">
        <is>
          <t>AWS</t>
        </is>
      </c>
      <c r="B154" s="41" t="inlineStr">
        <is>
          <t>Mumbai</t>
        </is>
      </c>
      <c r="C154" s="41" t="inlineStr">
        <is>
          <t>VM Heavy</t>
        </is>
      </c>
      <c r="D154" s="41" t="inlineStr">
        <is>
          <t>per hour</t>
        </is>
      </c>
      <c r="E154" s="52" t="n">
        <v>0.1792</v>
      </c>
      <c r="F154" s="42">
        <f>E154*$B$97</f>
        <v/>
      </c>
      <c r="G154" s="41" t="inlineStr">
        <is>
          <t>https://pricing.us-east-1.amazonaws.com/offers/v1.0/aws/AmazonEC2/current/ap-south-1/index.csv</t>
        </is>
      </c>
      <c r="H154" s="53" t="inlineStr">
        <is>
          <t>2026-09-15T09:05:32.395861+00:00</t>
        </is>
      </c>
    </row>
    <row r="155" ht="20" customHeight="1" s="22"/>
    <row r="156" ht="20" customHeight="1" s="22"/>
    <row r="157" ht="20" customHeight="1" s="22">
      <c r="A157" s="38" t="inlineStr">
        <is>
          <t>AWS — TOC Mapping</t>
        </is>
      </c>
    </row>
    <row r="158" hidden="1" outlineLevel="1" ht="30" customHeight="1" s="22">
      <c r="A158" s="39" t="inlineStr">
        <is>
          <t>Training TOC → Infrastructure Mapping</t>
        </is>
      </c>
    </row>
    <row r="159" hidden="1" outlineLevel="1" ht="30" customHeight="1" s="22"/>
    <row r="160" hidden="1" outlineLevel="1" ht="30" customHeight="1" s="22">
      <c r="A160" s="40" t="inlineStr">
        <is>
          <t>Day</t>
        </is>
      </c>
      <c r="B160" s="40" t="inlineStr">
        <is>
          <t>Training topic</t>
        </is>
      </c>
      <c r="C160" s="40" t="inlineStr">
        <is>
          <t>VM qty</t>
        </is>
      </c>
      <c r="D160" s="40" t="inlineStr">
        <is>
          <t>VM profile</t>
        </is>
      </c>
      <c r="E160" s="40" t="inlineStr">
        <is>
          <t>K8s control plane</t>
        </is>
      </c>
      <c r="F160" s="40" t="inlineStr">
        <is>
          <t>K8s worker nodes</t>
        </is>
      </c>
      <c r="G160" s="40" t="inlineStr">
        <is>
          <t>Managed DB</t>
        </is>
      </c>
      <c r="H160" s="40" t="inlineStr">
        <is>
          <t>Object storage</t>
        </is>
      </c>
      <c r="I160" s="40" t="inlineStr">
        <is>
          <t>Active days</t>
        </is>
      </c>
    </row>
    <row r="161" hidden="1" outlineLevel="1" ht="30" customHeight="1" s="22">
      <c r="A161" s="54" t="n">
        <v>1</v>
      </c>
      <c r="B161" s="54" t="inlineStr">
        <is>
          <t>DevOps Orientation, SDLC and Agile Delivery</t>
        </is>
      </c>
      <c r="C161" s="54" t="n">
        <v>34</v>
      </c>
      <c r="D161" s="54" t="inlineStr">
        <is>
          <t>Heavy</t>
        </is>
      </c>
      <c r="E161" s="54" t="n">
        <v>0</v>
      </c>
      <c r="F161" s="54" t="n">
        <v>0</v>
      </c>
      <c r="G161" s="54" t="n">
        <v>0</v>
      </c>
      <c r="H161" s="54" t="n">
        <v>0</v>
      </c>
      <c r="I161" s="54" t="n">
        <v>1</v>
      </c>
    </row>
    <row r="162" hidden="1" outlineLevel="1" ht="30" customHeight="1" s="22">
      <c r="A162" s="54" t="n">
        <v>2</v>
      </c>
      <c r="B162" s="54" t="inlineStr">
        <is>
          <t>Linux Fundamentals for DevOps</t>
        </is>
      </c>
      <c r="C162" s="54" t="n">
        <v>34</v>
      </c>
      <c r="D162" s="54" t="inlineStr">
        <is>
          <t>Light</t>
        </is>
      </c>
      <c r="E162" s="54" t="n">
        <v>0</v>
      </c>
      <c r="F162" s="54" t="n">
        <v>0</v>
      </c>
      <c r="G162" s="54" t="n">
        <v>0</v>
      </c>
      <c r="H162" s="54" t="n">
        <v>0</v>
      </c>
      <c r="I162" s="54" t="n">
        <v>1</v>
      </c>
    </row>
    <row r="163" hidden="1" outlineLevel="1" ht="30" customHeight="1" s="22">
      <c r="A163" s="54" t="n">
        <v>3</v>
      </c>
      <c r="B163" s="54" t="inlineStr">
        <is>
          <t>Shell Scripting and Automation</t>
        </is>
      </c>
      <c r="C163" s="54" t="n">
        <v>34</v>
      </c>
      <c r="D163" s="54" t="inlineStr">
        <is>
          <t>Light</t>
        </is>
      </c>
      <c r="E163" s="54" t="n">
        <v>0</v>
      </c>
      <c r="F163" s="54" t="n">
        <v>0</v>
      </c>
      <c r="G163" s="54" t="n">
        <v>0</v>
      </c>
      <c r="H163" s="54" t="n">
        <v>0</v>
      </c>
      <c r="I163" s="54" t="n">
        <v>1</v>
      </c>
    </row>
    <row r="164" hidden="1" outlineLevel="1" ht="30" customHeight="1" s="22">
      <c r="A164" s="54" t="n">
        <v>4</v>
      </c>
      <c r="B164" s="54" t="inlineStr">
        <is>
          <t>Networking, SSH and Web Basics</t>
        </is>
      </c>
      <c r="C164" s="54" t="n">
        <v>34</v>
      </c>
      <c r="D164" s="54" t="inlineStr">
        <is>
          <t>Light</t>
        </is>
      </c>
      <c r="E164" s="54" t="n">
        <v>0</v>
      </c>
      <c r="F164" s="54" t="n">
        <v>0</v>
      </c>
      <c r="G164" s="54" t="n">
        <v>0</v>
      </c>
      <c r="H164" s="54" t="n">
        <v>0</v>
      </c>
      <c r="I164" s="54" t="n">
        <v>1</v>
      </c>
    </row>
    <row r="165" hidden="1" outlineLevel="1" ht="30" customHeight="1" s="22">
      <c r="A165" s="54" t="n">
        <v>5</v>
      </c>
      <c r="B165" s="54" t="inlineStr">
        <is>
          <t>Git and GitHub Collaboration</t>
        </is>
      </c>
      <c r="C165" s="54" t="n">
        <v>34</v>
      </c>
      <c r="D165" s="54" t="inlineStr">
        <is>
          <t>Light</t>
        </is>
      </c>
      <c r="E165" s="54" t="n">
        <v>0</v>
      </c>
      <c r="F165" s="54" t="n">
        <v>0</v>
      </c>
      <c r="G165" s="54" t="n">
        <v>0</v>
      </c>
      <c r="H165" s="54" t="n">
        <v>0</v>
      </c>
      <c r="I165" s="54" t="n">
        <v>1</v>
      </c>
    </row>
    <row r="166" hidden="1" outlineLevel="1" ht="30" customHeight="1" s="22">
      <c r="A166" s="54" t="n">
        <v>6</v>
      </c>
      <c r="B166" s="54" t="inlineStr">
        <is>
          <t>Build Tools and Artifact Management</t>
        </is>
      </c>
      <c r="C166" s="54" t="n">
        <v>34</v>
      </c>
      <c r="D166" s="54" t="inlineStr">
        <is>
          <t>Light</t>
        </is>
      </c>
      <c r="E166" s="54" t="n">
        <v>0</v>
      </c>
      <c r="F166" s="54" t="n">
        <v>0</v>
      </c>
      <c r="G166" s="54" t="n">
        <v>0</v>
      </c>
      <c r="H166" s="54" t="n">
        <v>0</v>
      </c>
      <c r="I166" s="54" t="n">
        <v>1</v>
      </c>
    </row>
    <row r="167" hidden="1" outlineLevel="1" ht="30" customHeight="1" s="22">
      <c r="A167" s="54" t="n">
        <v>7</v>
      </c>
      <c r="B167" s="54" t="inlineStr">
        <is>
          <t>Jenkins Fundamentals</t>
        </is>
      </c>
      <c r="C167" s="54" t="n">
        <v>34</v>
      </c>
      <c r="D167" s="54" t="inlineStr">
        <is>
          <t>Heavy</t>
        </is>
      </c>
      <c r="E167" s="54" t="n">
        <v>0</v>
      </c>
      <c r="F167" s="54" t="n">
        <v>0</v>
      </c>
      <c r="G167" s="54" t="n">
        <v>0</v>
      </c>
      <c r="H167" s="54" t="n">
        <v>0</v>
      </c>
      <c r="I167" s="54" t="n">
        <v>1</v>
      </c>
    </row>
    <row r="168" hidden="1" outlineLevel="1" ht="30" customHeight="1" s="22">
      <c r="A168" s="54" t="n">
        <v>8</v>
      </c>
      <c r="B168" s="54" t="inlineStr">
        <is>
          <t>GitHub Actions and GitLab CI</t>
        </is>
      </c>
      <c r="C168" s="54" t="n">
        <v>34</v>
      </c>
      <c r="D168" s="54" t="inlineStr">
        <is>
          <t>Light</t>
        </is>
      </c>
      <c r="E168" s="54" t="n">
        <v>0</v>
      </c>
      <c r="F168" s="54" t="n">
        <v>0</v>
      </c>
      <c r="G168" s="54" t="n">
        <v>0</v>
      </c>
      <c r="H168" s="54" t="n">
        <v>0</v>
      </c>
      <c r="I168" s="54" t="n">
        <v>1</v>
      </c>
    </row>
    <row r="169" hidden="1" outlineLevel="1" ht="30" customHeight="1" s="22">
      <c r="A169" s="54" t="n">
        <v>9</v>
      </c>
      <c r="B169" s="54" t="inlineStr">
        <is>
          <t>Docker Compose and Multi-Container Apps</t>
        </is>
      </c>
      <c r="C169" s="54" t="n">
        <v>34</v>
      </c>
      <c r="D169" s="54" t="inlineStr">
        <is>
          <t>Heavy</t>
        </is>
      </c>
      <c r="E169" s="54" t="n">
        <v>0</v>
      </c>
      <c r="F169" s="54" t="n">
        <v>0</v>
      </c>
      <c r="G169" s="54" t="n">
        <v>0</v>
      </c>
      <c r="H169" s="54" t="n">
        <v>0</v>
      </c>
      <c r="I169" s="54" t="n">
        <v>1</v>
      </c>
    </row>
    <row r="170" hidden="1" outlineLevel="1" ht="30" customHeight="1" s="22">
      <c r="A170" s="54" t="n">
        <v>10</v>
      </c>
      <c r="B170" s="54" t="inlineStr">
        <is>
          <t>Kubernetes Architecture</t>
        </is>
      </c>
      <c r="C170" s="54" t="n">
        <v>34</v>
      </c>
      <c r="D170" s="54" t="inlineStr">
        <is>
          <t>Heavy</t>
        </is>
      </c>
      <c r="E170" s="54" t="n">
        <v>0</v>
      </c>
      <c r="F170" s="54" t="n">
        <v>0</v>
      </c>
      <c r="G170" s="54" t="n">
        <v>0</v>
      </c>
      <c r="H170" s="54" t="n">
        <v>0</v>
      </c>
      <c r="I170" s="54" t="n">
        <v>1</v>
      </c>
    </row>
    <row r="171" hidden="1" outlineLevel="1" ht="30" customHeight="1" s="22">
      <c r="A171" s="54" t="n">
        <v>11</v>
      </c>
      <c r="B171" s="54" t="inlineStr">
        <is>
          <t>Kubernetes Workloads and Services</t>
        </is>
      </c>
      <c r="C171" s="54" t="n">
        <v>34</v>
      </c>
      <c r="D171" s="54" t="inlineStr">
        <is>
          <t>Heavy</t>
        </is>
      </c>
      <c r="E171" s="54" t="n">
        <v>0</v>
      </c>
      <c r="F171" s="54" t="n">
        <v>0</v>
      </c>
      <c r="G171" s="54" t="n">
        <v>0</v>
      </c>
      <c r="H171" s="54" t="n">
        <v>0</v>
      </c>
      <c r="I171" s="54" t="n">
        <v>1</v>
      </c>
    </row>
    <row r="172" hidden="1" outlineLevel="1" ht="30" customHeight="1" s="22">
      <c r="A172" s="54" t="n">
        <v>12</v>
      </c>
      <c r="B172" s="54" t="inlineStr">
        <is>
          <t>Helm Package Management</t>
        </is>
      </c>
      <c r="C172" s="54" t="n">
        <v>34</v>
      </c>
      <c r="D172" s="54" t="inlineStr">
        <is>
          <t>Heavy</t>
        </is>
      </c>
      <c r="E172" s="54" t="n">
        <v>0</v>
      </c>
      <c r="F172" s="54" t="n">
        <v>0</v>
      </c>
      <c r="G172" s="54" t="n">
        <v>0</v>
      </c>
      <c r="H172" s="54" t="n">
        <v>0</v>
      </c>
      <c r="I172" s="54" t="n">
        <v>1</v>
      </c>
    </row>
    <row r="173" hidden="1" outlineLevel="1" ht="30" customHeight="1" s="22">
      <c r="A173" s="54" t="n">
        <v>13</v>
      </c>
      <c r="B173" s="54" t="inlineStr">
        <is>
          <t>AWS CI/CD and Container Services</t>
        </is>
      </c>
      <c r="C173" s="54" t="n">
        <v>34</v>
      </c>
      <c r="D173" s="54" t="inlineStr">
        <is>
          <t>Heavy</t>
        </is>
      </c>
      <c r="E173" s="54" t="n">
        <v>1</v>
      </c>
      <c r="F173" s="54" t="n">
        <v>1</v>
      </c>
      <c r="G173" s="54" t="n">
        <v>0</v>
      </c>
      <c r="H173" s="54" t="n">
        <v>0</v>
      </c>
      <c r="I173" s="54" t="n">
        <v>1</v>
      </c>
    </row>
    <row r="174" hidden="1" outlineLevel="1" ht="30" customHeight="1" s="22">
      <c r="A174" s="54" t="n">
        <v>14</v>
      </c>
      <c r="B174" s="54" t="inlineStr">
        <is>
          <t>Azure Pipelines and AKS</t>
        </is>
      </c>
      <c r="C174" s="54" t="n">
        <v>34</v>
      </c>
      <c r="D174" s="54" t="inlineStr">
        <is>
          <t>Heavy</t>
        </is>
      </c>
      <c r="E174" s="54" t="n">
        <v>1</v>
      </c>
      <c r="F174" s="54" t="n">
        <v>1</v>
      </c>
      <c r="G174" s="54" t="n">
        <v>0</v>
      </c>
      <c r="H174" s="54" t="n">
        <v>0</v>
      </c>
      <c r="I174" s="54" t="n">
        <v>1</v>
      </c>
    </row>
    <row r="175" hidden="1" outlineLevel="1" ht="30" customHeight="1" s="22">
      <c r="A175" s="54" t="n">
        <v>15</v>
      </c>
      <c r="B175" s="54" t="inlineStr">
        <is>
          <t>Terraform Modules and Environments</t>
        </is>
      </c>
      <c r="C175" s="54" t="n">
        <v>34</v>
      </c>
      <c r="D175" s="54" t="inlineStr">
        <is>
          <t>Heavy</t>
        </is>
      </c>
      <c r="E175" s="54" t="n">
        <v>0</v>
      </c>
      <c r="F175" s="54" t="n">
        <v>0</v>
      </c>
      <c r="G175" s="54" t="n">
        <v>0</v>
      </c>
      <c r="H175" s="54" t="n">
        <v>10</v>
      </c>
      <c r="I175" s="54" t="n">
        <v>1</v>
      </c>
    </row>
    <row r="176" hidden="1" outlineLevel="1" ht="30" customHeight="1" s="22">
      <c r="A176" s="54" t="n">
        <v>16</v>
      </c>
      <c r="B176" s="54" t="inlineStr">
        <is>
          <t>Ansible Configuration Management</t>
        </is>
      </c>
      <c r="C176" s="54" t="n">
        <v>34</v>
      </c>
      <c r="D176" s="54" t="inlineStr">
        <is>
          <t>Heavy</t>
        </is>
      </c>
      <c r="E176" s="54" t="n">
        <v>0</v>
      </c>
      <c r="F176" s="54" t="n">
        <v>0</v>
      </c>
      <c r="G176" s="54" t="n">
        <v>0</v>
      </c>
      <c r="H176" s="54" t="n">
        <v>0</v>
      </c>
      <c r="I176" s="54" t="n">
        <v>1</v>
      </c>
    </row>
    <row r="177" hidden="1" outlineLevel="1" ht="30" customHeight="1" s="22">
      <c r="A177" s="54" t="n">
        <v>17</v>
      </c>
      <c r="B177" s="54" t="inlineStr">
        <is>
          <t>Monitoring with Prometheus and Grafana</t>
        </is>
      </c>
      <c r="C177" s="54" t="n">
        <v>34</v>
      </c>
      <c r="D177" s="54" t="inlineStr">
        <is>
          <t>Heavy</t>
        </is>
      </c>
      <c r="E177" s="54" t="n">
        <v>0</v>
      </c>
      <c r="F177" s="54" t="n">
        <v>0</v>
      </c>
      <c r="G177" s="54" t="n">
        <v>0</v>
      </c>
      <c r="H177" s="54" t="n">
        <v>0</v>
      </c>
      <c r="I177" s="54" t="n">
        <v>1</v>
      </c>
    </row>
    <row r="178" hidden="1" outlineLevel="1" ht="30" customHeight="1" s="22">
      <c r="A178" s="54" t="n">
        <v>18</v>
      </c>
      <c r="B178" s="54" t="inlineStr">
        <is>
          <t>Release Management and Blue-Green Deployments</t>
        </is>
      </c>
      <c r="C178" s="54" t="n">
        <v>34</v>
      </c>
      <c r="D178" s="54" t="inlineStr">
        <is>
          <t>Heavy</t>
        </is>
      </c>
      <c r="E178" s="54" t="n">
        <v>0</v>
      </c>
      <c r="F178" s="54" t="n">
        <v>0</v>
      </c>
      <c r="G178" s="54" t="n">
        <v>0</v>
      </c>
      <c r="H178" s="54" t="n">
        <v>0</v>
      </c>
      <c r="I178" s="54" t="n">
        <v>1</v>
      </c>
    </row>
    <row r="179" hidden="1" outlineLevel="1" ht="30" customHeight="1" s="22">
      <c r="A179" s="54" t="n">
        <v>19</v>
      </c>
      <c r="B179" s="54" t="inlineStr">
        <is>
          <t>End-to-End DevOps Project Sprint</t>
        </is>
      </c>
      <c r="C179" s="54" t="n">
        <v>34</v>
      </c>
      <c r="D179" s="54" t="inlineStr">
        <is>
          <t>Heavy</t>
        </is>
      </c>
      <c r="E179" s="54" t="n">
        <v>0</v>
      </c>
      <c r="F179" s="54" t="n">
        <v>0</v>
      </c>
      <c r="G179" s="54" t="n">
        <v>0</v>
      </c>
      <c r="H179" s="54" t="n">
        <v>0</v>
      </c>
      <c r="I179" s="54" t="n">
        <v>1</v>
      </c>
    </row>
    <row r="180" hidden="1" outlineLevel="1" ht="30" customHeight="1" s="22">
      <c r="A180" s="54" t="n">
        <v>20</v>
      </c>
      <c r="B180" s="54" t="inlineStr">
        <is>
          <t>Capstone Demo and Certification Roadmap</t>
        </is>
      </c>
      <c r="C180" s="54" t="n">
        <v>34</v>
      </c>
      <c r="D180" s="54" t="inlineStr">
        <is>
          <t>Heavy</t>
        </is>
      </c>
      <c r="E180" s="54" t="n">
        <v>0</v>
      </c>
      <c r="F180" s="54" t="n">
        <v>0</v>
      </c>
      <c r="G180" s="54" t="n">
        <v>0</v>
      </c>
      <c r="H180" s="54" t="n">
        <v>0</v>
      </c>
      <c r="I180" s="54" t="n">
        <v>1</v>
      </c>
    </row>
    <row r="181" hidden="1" outlineLevel="1" ht="30" customHeight="1" s="22"/>
    <row r="182" hidden="1" outlineLevel="1" ht="30" customHeight="1" s="22">
      <c r="A182" s="45" t="inlineStr">
        <is>
          <t>Mapping note</t>
        </is>
      </c>
    </row>
    <row r="183" hidden="1" outlineLevel="1" ht="30" customHeight="1" s="22">
      <c r="A183" s="41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</row>
    <row r="184" hidden="1" outlineLevel="1" ht="30" customHeight="1" s="22"/>
    <row r="185" ht="20" customHeight="1" s="22"/>
    <row r="186" ht="20" customHeight="1" s="22"/>
    <row r="187" ht="20" customHeight="1" s="22">
      <c r="A187" s="38" t="inlineStr">
        <is>
          <t>AWS — Live Price Check</t>
        </is>
      </c>
    </row>
    <row r="188" hidden="1" outlineLevel="1" ht="30" customHeight="1" s="22">
      <c r="A188" s="54" t="inlineStr">
        <is>
          <t>Resource</t>
        </is>
      </c>
      <c r="B188" s="54" t="inlineStr">
        <is>
          <t>SKU</t>
        </is>
      </c>
      <c r="C188" s="54" t="inlineStr">
        <is>
          <t>Billing dimension</t>
        </is>
      </c>
      <c r="D188" s="54" t="inlineStr">
        <is>
          <t>Unit</t>
        </is>
      </c>
      <c r="E188" s="54" t="inlineStr">
        <is>
          <t>USD rate</t>
        </is>
      </c>
      <c r="F188" s="54" t="inlineStr">
        <is>
          <t>Region</t>
        </is>
      </c>
      <c r="G188" s="54" t="inlineStr">
        <is>
          <t>Source</t>
        </is>
      </c>
      <c r="H188" s="54" t="inlineStr">
        <is>
          <t>Checked at</t>
        </is>
      </c>
      <c r="I188" s="54" t="inlineStr">
        <is>
          <t>Previous USD rate</t>
        </is>
      </c>
      <c r="J188" s="54" t="inlineStr">
        <is>
          <t>Change %</t>
        </is>
      </c>
      <c r="K188" s="54" t="inlineStr">
        <is>
          <t>Review required</t>
        </is>
      </c>
    </row>
    <row r="189" hidden="1" outlineLevel="1" ht="30" customHeight="1" s="22">
      <c r="A189" s="54" t="inlineStr">
        <is>
          <t>VM</t>
        </is>
      </c>
      <c r="B189" s="54" t="inlineStr">
        <is>
          <t>4NK2QE2HS7XC4TZC</t>
        </is>
      </c>
      <c r="C189" s="54" t="inlineStr">
        <is>
          <t>4NK2QE2HS7XC4TZC.JRTCKXETXF.6YS6EN2CT7</t>
        </is>
      </c>
      <c r="D189" s="54" t="inlineStr">
        <is>
          <t>Hrs</t>
        </is>
      </c>
      <c r="E189" s="54" t="n">
        <v>0.0448</v>
      </c>
      <c r="F189" s="54" t="inlineStr">
        <is>
          <t>Mumbai</t>
        </is>
      </c>
      <c r="G189" s="54" t="inlineStr">
        <is>
          <t>https://pricing.us-east-1.amazonaws.com/offers/v1.0/aws/AmazonEC2/current/ap-south-1/index.csv</t>
        </is>
      </c>
      <c r="H189" s="54" t="inlineStr">
        <is>
          <t>2026-09-15T09:05:32.395861+00:00</t>
        </is>
      </c>
      <c r="I189" s="54" t="n">
        <v>0.0448</v>
      </c>
      <c r="J189" s="54" t="n">
        <v>0</v>
      </c>
      <c r="K189" s="54" t="inlineStr">
        <is>
          <t>No</t>
        </is>
      </c>
    </row>
    <row r="190" hidden="1" outlineLevel="1" ht="30" customHeight="1" s="22">
      <c r="A190" s="54" t="inlineStr">
        <is>
          <t>VM Light</t>
        </is>
      </c>
      <c r="B190" s="54" t="inlineStr">
        <is>
          <t>4NK2QE2HS7XC4TZC</t>
        </is>
      </c>
      <c r="C190" s="54" t="inlineStr">
        <is>
          <t>4NK2QE2HS7XC4TZC.JRTCKXETXF.6YS6EN2CT7</t>
        </is>
      </c>
      <c r="D190" s="54" t="inlineStr">
        <is>
          <t>Hrs</t>
        </is>
      </c>
      <c r="E190" s="54" t="n">
        <v>0.0448</v>
      </c>
      <c r="F190" s="54" t="inlineStr">
        <is>
          <t>Mumbai</t>
        </is>
      </c>
      <c r="G190" s="54" t="inlineStr">
        <is>
          <t>https://pricing.us-east-1.amazonaws.com/offers/v1.0/aws/AmazonEC2/current/ap-south-1/index.csv</t>
        </is>
      </c>
      <c r="H190" s="54" t="inlineStr">
        <is>
          <t>2026-09-15T09:05:32.395861+00:00</t>
        </is>
      </c>
      <c r="I190" s="54" t="n">
        <v>0.0448</v>
      </c>
      <c r="J190" s="54" t="n">
        <v>0</v>
      </c>
      <c r="K190" s="54" t="inlineStr">
        <is>
          <t>No</t>
        </is>
      </c>
    </row>
    <row r="191" hidden="1" outlineLevel="1" ht="30" customHeight="1" s="22">
      <c r="A191" s="54" t="inlineStr">
        <is>
          <t>VM Heavy</t>
        </is>
      </c>
      <c r="B191" s="54" t="inlineStr">
        <is>
          <t>WSEUB4NX5HQYMN3K</t>
        </is>
      </c>
      <c r="C191" s="54" t="inlineStr">
        <is>
          <t>WSEUB4NX5HQYMN3K.JRTCKXETXF.6YS6EN2CT7</t>
        </is>
      </c>
      <c r="D191" s="54" t="inlineStr">
        <is>
          <t>Hrs</t>
        </is>
      </c>
      <c r="E191" s="54" t="n">
        <v>0.1792</v>
      </c>
      <c r="F191" s="54" t="inlineStr">
        <is>
          <t>Mumbai</t>
        </is>
      </c>
      <c r="G191" s="54" t="inlineStr">
        <is>
          <t>https://pricing.us-east-1.amazonaws.com/offers/v1.0/aws/AmazonEC2/current/ap-south-1/index.csv</t>
        </is>
      </c>
      <c r="H191" s="54" t="inlineStr">
        <is>
          <t>2026-09-15T09:05:32.395861+00:00</t>
        </is>
      </c>
      <c r="I191" s="54" t="n">
        <v>0.1792</v>
      </c>
      <c r="J191" s="54" t="n">
        <v>0</v>
      </c>
      <c r="K191" s="54" t="inlineStr">
        <is>
          <t>No</t>
        </is>
      </c>
    </row>
    <row r="192" hidden="1" outlineLevel="1" ht="30" customHeight="1" s="22">
      <c r="A192" s="54" t="inlineStr">
        <is>
          <t>Kubernetes control plane</t>
        </is>
      </c>
      <c r="B192" s="54" t="inlineStr">
        <is>
          <t>RQJ9MJY8F5PSNNWU</t>
        </is>
      </c>
      <c r="C192" s="54" t="inlineStr">
        <is>
          <t>RQJ9MJY8F5PSNNWU.JRTCKXETXF.6YS6EN2CT7</t>
        </is>
      </c>
      <c r="D192" s="54" t="inlineStr">
        <is>
          <t>Hours</t>
        </is>
      </c>
      <c r="E192" s="54" t="n">
        <v>0.1</v>
      </c>
      <c r="F192" s="54" t="inlineStr">
        <is>
          <t>Mumbai</t>
        </is>
      </c>
      <c r="G192" s="54" t="inlineStr">
        <is>
          <t>https://pricing.us-east-1.amazonaws.com/offers/v1.0/aws/AmazonEKS/current/ap-south-1/index.csv</t>
        </is>
      </c>
      <c r="H192" s="54" t="inlineStr">
        <is>
          <t>2026-09-15T09:05:32.395861+00:00</t>
        </is>
      </c>
      <c r="I192" s="54" t="n">
        <v>0.1</v>
      </c>
      <c r="J192" s="54" t="n">
        <v>0</v>
      </c>
      <c r="K192" s="54" t="inlineStr">
        <is>
          <t>No</t>
        </is>
      </c>
    </row>
    <row r="193" hidden="1" outlineLevel="1" ht="30" customHeight="1" s="22">
      <c r="A193" s="54" t="inlineStr">
        <is>
          <t>Kubernetes worker</t>
        </is>
      </c>
      <c r="B193" s="54" t="inlineStr">
        <is>
          <t>WSEUB4NX5HQYMN3K</t>
        </is>
      </c>
      <c r="C193" s="54" t="inlineStr">
        <is>
          <t>WSEUB4NX5HQYMN3K.JRTCKXETXF.6YS6EN2CT7</t>
        </is>
      </c>
      <c r="D193" s="54" t="inlineStr">
        <is>
          <t>Hrs</t>
        </is>
      </c>
      <c r="E193" s="54" t="n">
        <v>0.1792</v>
      </c>
      <c r="F193" s="54" t="inlineStr">
        <is>
          <t>Mumbai</t>
        </is>
      </c>
      <c r="G193" s="54" t="inlineStr">
        <is>
          <t>https://pricing.us-east-1.amazonaws.com/offers/v1.0/aws/AmazonEC2/current/ap-south-1/index.csv</t>
        </is>
      </c>
      <c r="H193" s="54" t="inlineStr">
        <is>
          <t>2026-09-15T09:05:32.395861+00:00</t>
        </is>
      </c>
      <c r="I193" s="54" t="n">
        <v>0.1792</v>
      </c>
      <c r="J193" s="54" t="n">
        <v>0</v>
      </c>
      <c r="K193" s="54" t="inlineStr">
        <is>
          <t>No</t>
        </is>
      </c>
    </row>
    <row r="194" hidden="1" outlineLevel="1" ht="30" customHeight="1" s="22">
      <c r="A194" s="54" t="inlineStr">
        <is>
          <t>Disk</t>
        </is>
      </c>
      <c r="B194" s="54" t="inlineStr">
        <is>
          <t>D7RMW443YWTMZ4V5</t>
        </is>
      </c>
      <c r="C194" s="54" t="inlineStr">
        <is>
          <t>D7RMW443YWTMZ4V5.JRTCKXETXF.6YS6EN2CT7</t>
        </is>
      </c>
      <c r="D194" s="54" t="inlineStr">
        <is>
          <t>GB-Mo</t>
        </is>
      </c>
      <c r="E194" s="54" t="n">
        <v>0.0912</v>
      </c>
      <c r="F194" s="54" t="inlineStr">
        <is>
          <t>Mumbai</t>
        </is>
      </c>
      <c r="G194" s="54" t="inlineStr">
        <is>
          <t>https://pricing.us-east-1.amazonaws.com/offers/v1.0/aws/AmazonEC2/current/ap-south-1/index.csv</t>
        </is>
      </c>
      <c r="H194" s="54" t="inlineStr">
        <is>
          <t>2026-09-15T09:05:32.395861+00:00</t>
        </is>
      </c>
      <c r="I194" s="54" t="n">
        <v>0.0912</v>
      </c>
      <c r="J194" s="54" t="n">
        <v>0</v>
      </c>
      <c r="K194" s="54" t="inlineStr">
        <is>
          <t>No</t>
        </is>
      </c>
    </row>
    <row r="195" hidden="1" outlineLevel="1" ht="30" customHeight="1" s="22">
      <c r="A195" s="54" t="inlineStr">
        <is>
          <t>Storage</t>
        </is>
      </c>
      <c r="B195" s="54" t="inlineStr">
        <is>
          <t>USGUTP2JY23N9GH2</t>
        </is>
      </c>
      <c r="C195" s="54" t="inlineStr">
        <is>
          <t>USGUTP2JY23N9GH2.JRTCKXETXF.PGHJ3S3EYE</t>
        </is>
      </c>
      <c r="D195" s="54" t="inlineStr">
        <is>
          <t>GB-Mo</t>
        </is>
      </c>
      <c r="E195" s="54" t="n">
        <v>0.025</v>
      </c>
      <c r="F195" s="54" t="inlineStr">
        <is>
          <t>Mumbai</t>
        </is>
      </c>
      <c r="G195" s="54" t="inlineStr">
        <is>
          <t>https://pricing.us-east-1.amazonaws.com/offers/v1.0/aws/AmazonS3/current/ap-south-1/index.csv</t>
        </is>
      </c>
      <c r="H195" s="54" t="inlineStr">
        <is>
          <t>2026-09-15T09:05:32.395861+00:00</t>
        </is>
      </c>
      <c r="I195" s="54" t="n">
        <v>0.025</v>
      </c>
      <c r="J195" s="54" t="n">
        <v>0</v>
      </c>
      <c r="K195" s="54" t="inlineStr">
        <is>
          <t>No</t>
        </is>
      </c>
    </row>
    <row r="196" hidden="1" outlineLevel="1" ht="30" customHeight="1" s="22">
      <c r="A196" s="54" t="inlineStr">
        <is>
          <t>Egress</t>
        </is>
      </c>
      <c r="B196" s="54" t="inlineStr">
        <is>
          <t>NOT_BILLED</t>
        </is>
      </c>
      <c r="C196" s="54" t="inlineStr">
        <is>
          <t>not-enabled</t>
        </is>
      </c>
      <c r="D196" s="54" t="inlineStr">
        <is>
          <t>GB</t>
        </is>
      </c>
      <c r="E196" s="54" t="n">
        <v>0</v>
      </c>
      <c r="F196" s="54" t="inlineStr">
        <is>
          <t>Mumbai</t>
        </is>
      </c>
      <c r="G196" s="54" t="inlineStr">
        <is>
          <t>https://aws.amazon.com/pricing/</t>
        </is>
      </c>
      <c r="H196" s="54" t="inlineStr">
        <is>
          <t>2026-09-15T09:05:32.395861+00:00</t>
        </is>
      </c>
      <c r="I196" s="54" t="n">
        <v>0</v>
      </c>
      <c r="K196" s="54" t="inlineStr">
        <is>
          <t>No</t>
        </is>
      </c>
    </row>
    <row r="197" hidden="1" outlineLevel="1" ht="30" customHeight="1" s="22">
      <c r="A197" s="54" t="inlineStr">
        <is>
          <t>Build runner</t>
        </is>
      </c>
      <c r="B197" s="54" t="inlineStr">
        <is>
          <t>NOT_BILLED</t>
        </is>
      </c>
      <c r="C197" s="54" t="inlineStr">
        <is>
          <t>not-enabled</t>
        </is>
      </c>
      <c r="D197" s="54" t="inlineStr">
        <is>
          <t>1 Minute</t>
        </is>
      </c>
      <c r="E197" s="54" t="n">
        <v>0</v>
      </c>
      <c r="F197" s="54" t="inlineStr">
        <is>
          <t>Mumbai</t>
        </is>
      </c>
      <c r="G197" s="54" t="inlineStr">
        <is>
          <t>https://aws.amazon.com/pricing/</t>
        </is>
      </c>
      <c r="H197" s="54" t="inlineStr">
        <is>
          <t>2026-09-15T09:05:32.395861+00:00</t>
        </is>
      </c>
      <c r="I197" s="54" t="n">
        <v>0</v>
      </c>
      <c r="K197" s="54" t="inlineStr">
        <is>
          <t>No</t>
        </is>
      </c>
    </row>
    <row r="198" hidden="1" outlineLevel="1" ht="30" customHeight="1" s="22">
      <c r="A198" s="54" t="inlineStr">
        <is>
          <t>Managed database</t>
        </is>
      </c>
      <c r="B198" s="54" t="inlineStr">
        <is>
          <t>NOT_BILLED</t>
        </is>
      </c>
      <c r="C198" s="54" t="inlineStr">
        <is>
          <t>not-enabled</t>
        </is>
      </c>
      <c r="D198" s="54" t="inlineStr">
        <is>
          <t>Hours</t>
        </is>
      </c>
      <c r="E198" s="54" t="n">
        <v>0</v>
      </c>
      <c r="F198" s="54" t="inlineStr">
        <is>
          <t>Mumbai</t>
        </is>
      </c>
      <c r="G198" s="54" t="inlineStr">
        <is>
          <t>https://aws.amazon.com/pricing/</t>
        </is>
      </c>
      <c r="H198" s="54" t="inlineStr">
        <is>
          <t>2026-09-15T09:05:32.395861+00:00</t>
        </is>
      </c>
      <c r="I198" s="54" t="n">
        <v>0</v>
      </c>
      <c r="K198" s="54" t="inlineStr">
        <is>
          <t>No</t>
        </is>
      </c>
    </row>
    <row r="199" hidden="1" outlineLevel="1" ht="30" customHeight="1" s="22">
      <c r="A199" s="54" t="inlineStr">
        <is>
          <t>Monitoring</t>
        </is>
      </c>
      <c r="B199" s="54" t="inlineStr">
        <is>
          <t>NOT_BILLED</t>
        </is>
      </c>
      <c r="C199" s="54" t="inlineStr">
        <is>
          <t>not-enabled</t>
        </is>
      </c>
      <c r="D199" s="54" t="inlineStr">
        <is>
          <t>GB</t>
        </is>
      </c>
      <c r="E199" s="54" t="n">
        <v>0</v>
      </c>
      <c r="F199" s="54" t="inlineStr">
        <is>
          <t>Mumbai</t>
        </is>
      </c>
      <c r="G199" s="54" t="inlineStr">
        <is>
          <t>https://aws.amazon.com/pricing/</t>
        </is>
      </c>
      <c r="H199" s="54" t="inlineStr">
        <is>
          <t>2026-09-15T09:05:32.395861+00:00</t>
        </is>
      </c>
      <c r="I199" s="54" t="n">
        <v>0</v>
      </c>
      <c r="K199" s="54" t="inlineStr">
        <is>
          <t>No</t>
        </is>
      </c>
    </row>
    <row r="200" ht="20" customHeight="1" s="22"/>
    <row r="201" ht="20" customHeight="1" s="22"/>
    <row r="202" ht="20" customHeight="1" s="22">
      <c r="A202" s="38" t="inlineStr">
        <is>
          <t>AZURE — Assumptions</t>
        </is>
      </c>
    </row>
    <row r="203" hidden="1" outlineLevel="1" ht="30" customHeight="1" s="22">
      <c r="A203" s="39" t="inlineStr">
        <is>
          <t>Lab Cost Model – Assumptions</t>
        </is>
      </c>
    </row>
    <row r="204" hidden="1" outlineLevel="1" ht="30" customHeight="1" s="22"/>
    <row r="205" hidden="1" outlineLevel="1" ht="30" customHeight="1" s="22">
      <c r="A205" s="40" t="inlineStr">
        <is>
          <t>Assumption</t>
        </is>
      </c>
      <c r="B205" s="40" t="inlineStr">
        <is>
          <t>Value</t>
        </is>
      </c>
      <c r="C205" s="40" t="inlineStr">
        <is>
          <t>Unit / Option</t>
        </is>
      </c>
      <c r="D205" s="40" t="inlineStr">
        <is>
          <t>Notes</t>
        </is>
      </c>
    </row>
    <row r="206" hidden="1" outlineLevel="1" ht="30" customHeight="1" s="22">
      <c r="A206" s="47" t="inlineStr">
        <is>
          <t>Training title</t>
        </is>
      </c>
      <c r="B206" s="50" t="inlineStr">
        <is>
          <t>DevOps Mastery</t>
        </is>
      </c>
      <c r="C206" s="41" t="inlineStr">
        <is>
          <t>Text</t>
        </is>
      </c>
      <c r="D206" s="41" t="inlineStr">
        <is>
          <t>Client-facing title</t>
        </is>
      </c>
    </row>
    <row r="207" hidden="1" outlineLevel="1" ht="30" customHeight="1" s="22">
      <c r="A207" s="47" t="inlineStr">
        <is>
          <t>Cloud provider</t>
        </is>
      </c>
      <c r="B207" s="50" t="inlineStr">
        <is>
          <t>Azure</t>
        </is>
      </c>
      <c r="C207" s="41" t="inlineStr">
        <is>
          <t>AWS / Azure / GCP</t>
        </is>
      </c>
      <c r="D207" s="41" t="inlineStr">
        <is>
          <t>Select provider</t>
        </is>
      </c>
    </row>
    <row r="208" hidden="1" outlineLevel="1" ht="30" customHeight="1" s="22">
      <c r="A208" s="47" t="inlineStr">
        <is>
          <t>Region</t>
        </is>
      </c>
      <c r="B208" s="50" t="inlineStr">
        <is>
          <t>Central India</t>
        </is>
      </c>
      <c r="C208" s="41" t="inlineStr">
        <is>
          <t>Mumbai / Central India / GCP Mumbai</t>
        </is>
      </c>
      <c r="D208" s="41" t="inlineStr">
        <is>
          <t>Select matching region</t>
        </is>
      </c>
    </row>
    <row r="209" hidden="1" outlineLevel="1" ht="30" customHeight="1" s="22">
      <c r="A209" s="47" t="inlineStr">
        <is>
          <t>Hours per day</t>
        </is>
      </c>
      <c r="B209" s="50" t="n">
        <v>3</v>
      </c>
      <c r="C209" s="41" t="inlineStr">
        <is>
          <t>hours</t>
        </is>
      </c>
      <c r="D209" s="41" t="inlineStr">
        <is>
          <t>Lab runtime per training day</t>
        </is>
      </c>
    </row>
    <row r="210" hidden="1" outlineLevel="1" ht="30" customHeight="1" s="22">
      <c r="A210" s="47" t="inlineStr">
        <is>
          <t>Training days</t>
        </is>
      </c>
      <c r="B210" s="50" t="n">
        <v>20</v>
      </c>
      <c r="C210" s="41" t="inlineStr">
        <is>
          <t>days</t>
        </is>
      </c>
      <c r="D210" s="41" t="inlineStr">
        <is>
          <t>Total training days</t>
        </is>
      </c>
    </row>
    <row r="211" hidden="1" outlineLevel="1" ht="30" customHeight="1" s="22">
      <c r="A211" s="47" t="inlineStr">
        <is>
          <t>Participants</t>
        </is>
      </c>
      <c r="B211" s="50" t="n">
        <v>34</v>
      </c>
      <c r="C211" s="41" t="inlineStr">
        <is>
          <t>people</t>
        </is>
      </c>
      <c r="D211" s="41" t="inlineStr">
        <is>
          <t>Number of learners</t>
        </is>
      </c>
    </row>
    <row r="212" hidden="1" outlineLevel="1" ht="30" customHeight="1" s="22">
      <c r="A212" s="47" t="inlineStr">
        <is>
          <t>Storage GB</t>
        </is>
      </c>
      <c r="B212" s="50" t="n">
        <v>10</v>
      </c>
      <c r="C212" s="41" t="inlineStr">
        <is>
          <t>GB</t>
        </is>
      </c>
      <c r="D212" s="41" t="inlineStr">
        <is>
          <t>Object storage requirement</t>
        </is>
      </c>
    </row>
    <row r="213" hidden="1" outlineLevel="1" ht="30" customHeight="1" s="22">
      <c r="A213" s="47" t="inlineStr">
        <is>
          <t>Data egress GB</t>
        </is>
      </c>
      <c r="B213" s="50" t="n">
        <v>0</v>
      </c>
      <c r="C213" s="41" t="inlineStr">
        <is>
          <t>GB</t>
        </is>
      </c>
      <c r="D213" s="41" t="inlineStr">
        <is>
          <t>Estimated outbound transfer</t>
        </is>
      </c>
    </row>
    <row r="214" hidden="1" outlineLevel="1" ht="30" customHeight="1" s="22">
      <c r="A214" s="47" t="inlineStr">
        <is>
          <t>Build minutes</t>
        </is>
      </c>
      <c r="B214" s="50" t="n">
        <v>0</v>
      </c>
      <c r="C214" s="41" t="inlineStr">
        <is>
          <t>minutes</t>
        </is>
      </c>
      <c r="D214" s="41" t="inlineStr">
        <is>
          <t>CI/CD runner usage</t>
        </is>
      </c>
    </row>
    <row r="215" hidden="1" outlineLevel="1" ht="30" customHeight="1" s="22">
      <c r="A215" s="47" t="inlineStr">
        <is>
          <t>Monitoring GB</t>
        </is>
      </c>
      <c r="B215" s="50" t="n">
        <v>0</v>
      </c>
      <c r="C215" s="41" t="inlineStr">
        <is>
          <t>GB</t>
        </is>
      </c>
      <c r="D215" s="41" t="inlineStr">
        <is>
          <t>Monitoring/log ingestion</t>
        </is>
      </c>
    </row>
    <row r="216" hidden="1" outlineLevel="1" ht="30" customHeight="1" s="22">
      <c r="A216" s="47" t="inlineStr">
        <is>
          <t>Kubernetes worker nodes</t>
        </is>
      </c>
      <c r="B216" s="50" t="n">
        <v>1</v>
      </c>
      <c r="C216" s="41" t="inlineStr">
        <is>
          <t>nodes</t>
        </is>
      </c>
      <c r="D216" s="41" t="inlineStr">
        <is>
          <t>Worker count when Kubernetes is used</t>
        </is>
      </c>
    </row>
    <row r="217" hidden="1" outlineLevel="1" ht="30" customHeight="1" s="22">
      <c r="A217" s="47" t="inlineStr">
        <is>
          <t>USD-to-INR rate</t>
        </is>
      </c>
      <c r="B217" s="50" t="n">
        <v>95.56</v>
      </c>
      <c r="C217" s="41" t="inlineStr">
        <is>
          <t>INR/USD</t>
        </is>
      </c>
      <c r="D217" s="41" t="inlineStr">
        <is>
          <t>Update with current conversion rate</t>
        </is>
      </c>
    </row>
    <row r="218" hidden="1" outlineLevel="1" ht="30" customHeight="1" s="22">
      <c r="A218" s="47" t="inlineStr">
        <is>
          <t>Contingency percentage</t>
        </is>
      </c>
      <c r="B218" s="51" t="n">
        <v>0.1</v>
      </c>
      <c r="C218" s="41" t="inlineStr">
        <is>
          <t>%</t>
        </is>
      </c>
      <c r="D218" s="41" t="inlineStr">
        <is>
          <t>Risk buffer</t>
        </is>
      </c>
    </row>
    <row r="219" hidden="1" outlineLevel="1" ht="30" customHeight="1" s="22">
      <c r="A219" s="47" t="inlineStr">
        <is>
          <t>GST percentage</t>
        </is>
      </c>
      <c r="B219" s="51" t="n">
        <v>0.18</v>
      </c>
      <c r="C219" s="41" t="inlineStr">
        <is>
          <t>%</t>
        </is>
      </c>
      <c r="D219" s="41" t="inlineStr">
        <is>
          <t>India GST assumption</t>
        </is>
      </c>
    </row>
    <row r="220" hidden="1" outlineLevel="1" ht="30" customHeight="1" s="22">
      <c r="A220" s="47" t="inlineStr">
        <is>
          <t>Package</t>
        </is>
      </c>
      <c r="B220" s="50" t="inlineStr">
        <is>
          <t>Standard</t>
        </is>
      </c>
      <c r="C220" s="41" t="inlineStr">
        <is>
          <t>Basic / Standard / Advanced</t>
        </is>
      </c>
      <c r="D220" s="41" t="inlineStr">
        <is>
          <t>Controls support pricing</t>
        </is>
      </c>
    </row>
    <row r="221" hidden="1" outlineLevel="1" ht="30" customHeight="1" s="22">
      <c r="A221" s="47" t="inlineStr">
        <is>
          <t>Quote validity</t>
        </is>
      </c>
      <c r="B221" s="50" t="n">
        <v>7</v>
      </c>
      <c r="C221" s="41" t="inlineStr">
        <is>
          <t>days</t>
        </is>
      </c>
      <c r="D221" s="41" t="inlineStr">
        <is>
          <t>Validity from quote date</t>
        </is>
      </c>
    </row>
    <row r="222" hidden="1" outlineLevel="1" ht="30" customHeight="1" s="22">
      <c r="A222" s="47" t="inlineStr">
        <is>
          <t>Disk GB per VM / worker node</t>
        </is>
      </c>
      <c r="B222" s="50" t="n">
        <v>32</v>
      </c>
      <c r="C222" s="41" t="inlineStr">
        <is>
          <t>GB</t>
        </is>
      </c>
      <c r="D222" s="41" t="inlineStr">
        <is>
          <t>Explicit sizing assumption; replace with lab-template node sizing when supplied</t>
        </is>
      </c>
    </row>
    <row r="223" hidden="1" outlineLevel="1" ht="41.25" customHeight="1" s="22">
      <c r="A223" s="47" t="inlineStr">
        <is>
          <t>Applied support rate (INR / participant-day)</t>
        </is>
      </c>
      <c r="B223" s="50">
        <f>IF(B225="Basic",B226,IF(B225="Standard",B227,B228))</f>
        <v/>
      </c>
      <c r="C223" s="41" t="inlineStr">
        <is>
          <t>INR / participant-day</t>
        </is>
      </c>
      <c r="D223" s="41" t="inlineStr">
        <is>
          <t>Formula selects the applied support tier; total scales with participants and training days</t>
        </is>
      </c>
    </row>
    <row r="224" hidden="1" outlineLevel="1" ht="41.25" customHeight="1" s="22">
      <c r="A224" s="47" t="inlineStr">
        <is>
          <t>Advanced support threshold</t>
        </is>
      </c>
      <c r="B224" s="50" t="n">
        <v>400</v>
      </c>
      <c r="C224" s="41" t="inlineStr">
        <is>
          <t>participant-days</t>
        </is>
      </c>
      <c r="D224" s="41" t="inlineStr">
        <is>
          <t>At or above this engagement size, Standard is automatically quoted as Advanced support</t>
        </is>
      </c>
    </row>
    <row r="225" hidden="1" outlineLevel="1" ht="30" customHeight="1" s="22">
      <c r="A225" s="47" t="inlineStr">
        <is>
          <t>Applied support tier</t>
        </is>
      </c>
      <c r="B225" s="50">
        <f>IF(AND(B220="Standard",B211*B210&gt;=B224),"Advanced",B220)</f>
        <v/>
      </c>
      <c r="C225" s="41" t="inlineStr">
        <is>
          <t>tier</t>
        </is>
      </c>
      <c r="D225" s="41" t="inlineStr">
        <is>
          <t>Uses participant count × training days</t>
        </is>
      </c>
    </row>
    <row r="226" hidden="1" outlineLevel="1" ht="30" customHeight="1" s="22">
      <c r="A226" s="47" t="inlineStr">
        <is>
          <t>Basic support rate</t>
        </is>
      </c>
      <c r="B226" s="50" t="n">
        <v>0</v>
      </c>
      <c r="C226" s="41" t="inlineStr">
        <is>
          <t>INR / participant-day</t>
        </is>
      </c>
      <c r="D226" s="41" t="inlineStr">
        <is>
          <t>Editable commercial rate</t>
        </is>
      </c>
    </row>
    <row r="227" hidden="1" outlineLevel="1" ht="30" customHeight="1" s="22">
      <c r="A227" s="47" t="inlineStr">
        <is>
          <t>Standard support rate</t>
        </is>
      </c>
      <c r="B227" s="50" t="n">
        <v>0</v>
      </c>
      <c r="C227" s="41" t="inlineStr">
        <is>
          <t>INR / participant-day</t>
        </is>
      </c>
      <c r="D227" s="41" t="inlineStr">
        <is>
          <t>Editable commercial rate</t>
        </is>
      </c>
    </row>
    <row r="228" hidden="1" outlineLevel="1" ht="30" customHeight="1" s="22">
      <c r="A228" s="47" t="inlineStr">
        <is>
          <t>Advanced support rate</t>
        </is>
      </c>
      <c r="B228" s="50" t="n">
        <v>0</v>
      </c>
      <c r="C228" s="41" t="inlineStr">
        <is>
          <t>INR / participant-day</t>
        </is>
      </c>
      <c r="D228" s="41" t="inlineStr">
        <is>
          <t>Editable commercial rate</t>
        </is>
      </c>
    </row>
    <row r="229" hidden="1" outlineLevel="1" ht="54.75" customHeight="1" s="22">
      <c r="A229" s="47" t="inlineStr">
        <is>
          <t>VM profile pricing status</t>
        </is>
      </c>
      <c r="B229" s="50" t="inlineStr">
        <is>
          <t>Live profile rates supplied</t>
        </is>
      </c>
      <c r="C229" s="41" t="inlineStr">
        <is>
          <t>2026-09-15T09:05:38.277193+00:00</t>
        </is>
      </c>
      <c r="D229" s="41" t="inlineStr">
        <is>
          <t>Enter vm_profile_rates and vm_profile_sources with current provider URLs before final client approval</t>
        </is>
      </c>
    </row>
    <row r="230" hidden="1" outlineLevel="1" ht="41.25" customHeight="1" s="22">
      <c r="A230" s="47" t="inlineStr">
        <is>
          <t>Rate snapshot ID</t>
        </is>
      </c>
      <c r="B230" s="50" t="inlineStr">
        <is>
          <t>LCQ-DCB0594DB944481897CC85EEDFD357F4</t>
        </is>
      </c>
      <c r="C230" s="41" t="inlineStr">
        <is>
          <t>audit ID</t>
        </is>
      </c>
      <c r="D230" s="41" t="inlineStr">
        <is>
          <t>Use this ID to retrieve the rate snapshot and calculation record</t>
        </is>
      </c>
    </row>
    <row r="231" hidden="1" outlineLevel="1" ht="30" customHeight="1" s="22">
      <c r="A231" s="47" t="inlineStr">
        <is>
          <t>Pricing status</t>
        </is>
      </c>
      <c r="B231" s="50" t="inlineStr">
        <is>
          <t>provider_api_verified_public_retail</t>
        </is>
      </c>
      <c r="C231" s="41" t="inlineStr">
        <is>
          <t>status</t>
        </is>
      </c>
      <c r="D231" s="41" t="inlineStr">
        <is>
          <t>Live SKU rates and official source URLs are required before final client approval</t>
        </is>
      </c>
    </row>
    <row r="232" hidden="1" outlineLevel="1" ht="162" customHeight="1" s="22">
      <c r="A232" s="47" t="inlineStr">
        <is>
          <t>Rate source</t>
        </is>
      </c>
      <c r="B232" s="50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C232" s="41" t="inlineStr">
        <is>
          <t>URL</t>
        </is>
      </c>
      <c r="D232" s="41" t="inlineStr">
        <is>
          <t>Official provider pricing page or approved pricing-export URL</t>
        </is>
      </c>
    </row>
    <row r="233" hidden="1" outlineLevel="1" ht="41.25" customHeight="1" s="22">
      <c r="A233" s="47" t="inlineStr">
        <is>
          <t>Rates checked at (UTC)</t>
        </is>
      </c>
      <c r="B233" s="50" t="inlineStr">
        <is>
          <t>2026-09-15T09:05:38.277193+00:00</t>
        </is>
      </c>
      <c r="C233" s="41" t="inlineStr">
        <is>
          <t>timestamp</t>
        </is>
      </c>
      <c r="D233" s="41" t="inlineStr">
        <is>
          <t>Rate snapshot timestamp</t>
        </is>
      </c>
    </row>
    <row r="234" hidden="1" outlineLevel="1" ht="41.25" customHeight="1" s="22">
      <c r="A234" s="47" t="inlineStr">
        <is>
          <t>Quote valid until (UTC)</t>
        </is>
      </c>
      <c r="B234" s="50" t="inlineStr">
        <is>
          <t>2026-09-22T09:05:38.277193+00:00</t>
        </is>
      </c>
      <c r="C234" s="41" t="inlineStr">
        <is>
          <t>timestamp</t>
        </is>
      </c>
      <c r="D234" s="41" t="inlineStr">
        <is>
          <t>Recalculate from current rates after this time</t>
        </is>
      </c>
    </row>
    <row r="235" hidden="1" outlineLevel="1" ht="30" customHeight="1" s="22">
      <c r="A235" s="47" t="inlineStr">
        <is>
          <t>Price-change review threshold</t>
        </is>
      </c>
      <c r="B235" s="50" t="n">
        <v>5</v>
      </c>
      <c r="C235" s="41" t="inlineStr">
        <is>
          <t>%</t>
        </is>
      </c>
      <c r="D235" s="41" t="inlineStr">
        <is>
          <t>Escalate for review when refreshed pricing changes beyond this threshold</t>
        </is>
      </c>
    </row>
    <row r="236" hidden="1" outlineLevel="1" ht="41.25" customHeight="1" s="22">
      <c r="A236" s="47" t="inlineStr">
        <is>
          <t>Lab architecture</t>
        </is>
      </c>
      <c r="B236" s="50" t="inlineStr">
        <is>
          <t>Caller-supplied per-day resource mapping</t>
        </is>
      </c>
      <c r="C236" s="41" t="inlineStr">
        <is>
          <t>assumption</t>
        </is>
      </c>
      <c r="D236" s="41" t="inlineStr">
        <is>
          <t>Quantities are total resources; learner VMs scale with participants, shared services do not</t>
        </is>
      </c>
    </row>
    <row r="237" hidden="1" outlineLevel="1" ht="30" customHeight="1" s="22">
      <c r="A237" s="47" t="inlineStr">
        <is>
          <t>FX status</t>
        </is>
      </c>
      <c r="B237" s="50" t="inlineStr">
        <is>
          <t>User-supplied assumption</t>
        </is>
      </c>
      <c r="C237" s="41" t="inlineStr">
        <is>
          <t>status</t>
        </is>
      </c>
      <c r="D237" s="41" t="inlineStr">
        <is>
          <t>USD/INR is not verified by the cloud price lookup; confirm before approval</t>
        </is>
      </c>
    </row>
    <row r="238" hidden="1" outlineLevel="1" ht="41.25" customHeight="1" s="22">
      <c r="A238" s="47" t="inlineStr">
        <is>
          <t>Support pricing status</t>
        </is>
      </c>
      <c r="B238" s="50" t="inlineStr">
        <is>
          <t>Unconfigured / zero charge</t>
        </is>
      </c>
      <c r="C238" s="41" t="inlineStr">
        <is>
          <t>status</t>
        </is>
      </c>
      <c r="D238" s="41" t="inlineStr">
        <is>
          <t>No support price is invented. Confirm the applied tier rate before client approval</t>
        </is>
      </c>
    </row>
    <row r="239" hidden="1" outlineLevel="1" ht="54.75" customHeight="1" s="22">
      <c r="A239" s="47" t="inlineStr">
        <is>
          <t>Quote approval status</t>
        </is>
      </c>
      <c r="B239" s="50" t="inlineStr">
        <is>
          <t>Draft — commercial review required</t>
        </is>
      </c>
      <c r="C239" s="41" t="inlineStr">
        <is>
          <t>status</t>
        </is>
      </c>
      <c r="D239" s="41" t="inlineStr">
        <is>
          <t>Provider verification covers selected resource rates only; confirm architecture, access hours, support, FX, taxes and exclusions</t>
        </is>
      </c>
    </row>
    <row r="240" ht="20" customHeight="1" s="22"/>
    <row r="241" ht="20" customHeight="1" s="22"/>
    <row r="242" ht="20" customHeight="1" s="22">
      <c r="A242" s="38" t="inlineStr">
        <is>
          <t>AZURE — Rate Card</t>
        </is>
      </c>
    </row>
    <row r="243" hidden="1" outlineLevel="1" ht="30" customHeight="1" s="22">
      <c r="A243" s="39" t="inlineStr">
        <is>
          <t>Rate Card – Editable Provider Pricing</t>
        </is>
      </c>
    </row>
    <row r="244" hidden="1" outlineLevel="1" ht="30" customHeight="1" s="22"/>
    <row r="245" hidden="1" outlineLevel="1" ht="30" customHeight="1" s="22">
      <c r="A245" s="40" t="inlineStr">
        <is>
          <t>Provider</t>
        </is>
      </c>
      <c r="B245" s="40" t="inlineStr">
        <is>
          <t>Region</t>
        </is>
      </c>
      <c r="C245" s="40" t="inlineStr">
        <is>
          <t>Resource</t>
        </is>
      </c>
      <c r="D245" s="40" t="inlineStr">
        <is>
          <t>Billing unit</t>
        </is>
      </c>
      <c r="E245" s="40" t="inlineStr">
        <is>
          <t>USD rate</t>
        </is>
      </c>
      <c r="F245" s="40" t="inlineStr">
        <is>
          <t>INR rate</t>
        </is>
      </c>
      <c r="G245" s="40" t="inlineStr">
        <is>
          <t>Source URL</t>
        </is>
      </c>
      <c r="H245" s="40" t="inlineStr">
        <is>
          <t>Last verified date</t>
        </is>
      </c>
    </row>
    <row r="246" hidden="1" outlineLevel="1" ht="30" customHeight="1" s="22">
      <c r="A246" s="41" t="inlineStr">
        <is>
          <t>AWS</t>
        </is>
      </c>
      <c r="B246" s="41" t="inlineStr">
        <is>
          <t>Mumbai</t>
        </is>
      </c>
      <c r="C246" s="41" t="inlineStr">
        <is>
          <t>VM</t>
        </is>
      </c>
      <c r="D246" s="41" t="inlineStr">
        <is>
          <t>per hour</t>
        </is>
      </c>
      <c r="G246" s="41" t="inlineStr">
        <is>
          <t>https://aws.amazon.com/ec2/pricing/</t>
        </is>
      </c>
      <c r="H246" s="53" t="inlineStr">
        <is>
          <t>Not priced for this quote</t>
        </is>
      </c>
    </row>
    <row r="247" hidden="1" outlineLevel="1" ht="30" customHeight="1" s="22">
      <c r="A247" s="41" t="inlineStr">
        <is>
          <t>AWS</t>
        </is>
      </c>
      <c r="B247" s="41" t="inlineStr">
        <is>
          <t>Mumbai</t>
        </is>
      </c>
      <c r="C247" s="41" t="inlineStr">
        <is>
          <t>Kubernetes control plane</t>
        </is>
      </c>
      <c r="D247" s="41" t="inlineStr">
        <is>
          <t>per cluster-hour</t>
        </is>
      </c>
      <c r="G247" s="41" t="inlineStr">
        <is>
          <t>https://aws.amazon.com/eks/pricing/</t>
        </is>
      </c>
      <c r="H247" s="53" t="inlineStr">
        <is>
          <t>Not priced for this quote</t>
        </is>
      </c>
    </row>
    <row r="248" hidden="1" outlineLevel="1" ht="30" customHeight="1" s="22">
      <c r="A248" s="41" t="inlineStr">
        <is>
          <t>AWS</t>
        </is>
      </c>
      <c r="B248" s="41" t="inlineStr">
        <is>
          <t>Mumbai</t>
        </is>
      </c>
      <c r="C248" s="41" t="inlineStr">
        <is>
          <t>Kubernetes worker</t>
        </is>
      </c>
      <c r="D248" s="41" t="inlineStr">
        <is>
          <t>per VM-hour</t>
        </is>
      </c>
      <c r="G248" s="41" t="inlineStr">
        <is>
          <t>https://aws.amazon.com/ec2/pricing/</t>
        </is>
      </c>
      <c r="H248" s="53" t="inlineStr">
        <is>
          <t>Not priced for this quote</t>
        </is>
      </c>
    </row>
    <row r="249" hidden="1" outlineLevel="1" ht="30" customHeight="1" s="22">
      <c r="A249" s="41" t="inlineStr">
        <is>
          <t>AWS</t>
        </is>
      </c>
      <c r="B249" s="41" t="inlineStr">
        <is>
          <t>Mumbai</t>
        </is>
      </c>
      <c r="C249" s="41" t="inlineStr">
        <is>
          <t>Disk</t>
        </is>
      </c>
      <c r="D249" s="41" t="inlineStr">
        <is>
          <t>GB-month</t>
        </is>
      </c>
      <c r="G249" s="41" t="inlineStr">
        <is>
          <t>https://aws.amazon.com/ebs/pricing/</t>
        </is>
      </c>
      <c r="H249" s="53" t="inlineStr">
        <is>
          <t>Not priced for this quote</t>
        </is>
      </c>
    </row>
    <row r="250" hidden="1" outlineLevel="1" ht="30" customHeight="1" s="22">
      <c r="A250" s="41" t="inlineStr">
        <is>
          <t>AWS</t>
        </is>
      </c>
      <c r="B250" s="41" t="inlineStr">
        <is>
          <t>Mumbai</t>
        </is>
      </c>
      <c r="C250" s="41" t="inlineStr">
        <is>
          <t>Storage</t>
        </is>
      </c>
      <c r="D250" s="41" t="inlineStr">
        <is>
          <t>GB-month</t>
        </is>
      </c>
      <c r="G250" s="41" t="inlineStr">
        <is>
          <t>https://aws.amazon.com/s3/pricing/</t>
        </is>
      </c>
      <c r="H250" s="53" t="inlineStr">
        <is>
          <t>Not priced for this quote</t>
        </is>
      </c>
    </row>
    <row r="251" hidden="1" outlineLevel="1" ht="30" customHeight="1" s="22">
      <c r="A251" s="41" t="inlineStr">
        <is>
          <t>AWS</t>
        </is>
      </c>
      <c r="B251" s="41" t="inlineStr">
        <is>
          <t>Mumbai</t>
        </is>
      </c>
      <c r="C251" s="41" t="inlineStr">
        <is>
          <t>Egress</t>
        </is>
      </c>
      <c r="D251" s="41" t="inlineStr">
        <is>
          <t>per GB</t>
        </is>
      </c>
      <c r="G251" s="41" t="inlineStr">
        <is>
          <t>https://aws.amazon.com/ec2/pricing/on-demand/#Data_Transfer</t>
        </is>
      </c>
      <c r="H251" s="53" t="inlineStr">
        <is>
          <t>Not priced for this quote</t>
        </is>
      </c>
    </row>
    <row r="252" hidden="1" outlineLevel="1" ht="30" customHeight="1" s="22">
      <c r="A252" s="41" t="inlineStr">
        <is>
          <t>AWS</t>
        </is>
      </c>
      <c r="B252" s="41" t="inlineStr">
        <is>
          <t>Mumbai</t>
        </is>
      </c>
      <c r="C252" s="41" t="inlineStr">
        <is>
          <t>Build runner</t>
        </is>
      </c>
      <c r="D252" s="41" t="inlineStr">
        <is>
          <t>per build minute</t>
        </is>
      </c>
      <c r="G252" s="41" t="inlineStr">
        <is>
          <t>https://aws.amazon.com/codebuild/pricing/</t>
        </is>
      </c>
      <c r="H252" s="53" t="inlineStr">
        <is>
          <t>Not priced for this quote</t>
        </is>
      </c>
    </row>
    <row r="253" hidden="1" outlineLevel="1" ht="30" customHeight="1" s="22">
      <c r="A253" s="41" t="inlineStr">
        <is>
          <t>AWS</t>
        </is>
      </c>
      <c r="B253" s="41" t="inlineStr">
        <is>
          <t>Mumbai</t>
        </is>
      </c>
      <c r="C253" s="41" t="inlineStr">
        <is>
          <t>Managed database</t>
        </is>
      </c>
      <c r="D253" s="41" t="inlineStr">
        <is>
          <t>per hour</t>
        </is>
      </c>
      <c r="G253" s="41" t="inlineStr">
        <is>
          <t>https://aws.amazon.com/rds/pricing/</t>
        </is>
      </c>
      <c r="H253" s="53" t="inlineStr">
        <is>
          <t>Not priced for this quote</t>
        </is>
      </c>
    </row>
    <row r="254" hidden="1" outlineLevel="1" ht="30" customHeight="1" s="22">
      <c r="A254" s="41" t="inlineStr">
        <is>
          <t>AWS</t>
        </is>
      </c>
      <c r="B254" s="41" t="inlineStr">
        <is>
          <t>Mumbai</t>
        </is>
      </c>
      <c r="C254" s="41" t="inlineStr">
        <is>
          <t>Monitoring</t>
        </is>
      </c>
      <c r="D254" s="41" t="inlineStr">
        <is>
          <t>per GB</t>
        </is>
      </c>
      <c r="G254" s="41" t="inlineStr">
        <is>
          <t>https://aws.amazon.com/cloudwatch/pricing/</t>
        </is>
      </c>
      <c r="H254" s="53" t="inlineStr">
        <is>
          <t>Not priced for this quote</t>
        </is>
      </c>
    </row>
    <row r="255" hidden="1" outlineLevel="1" ht="68.25" customHeight="1" s="22">
      <c r="A255" s="41" t="inlineStr">
        <is>
          <t>Azure</t>
        </is>
      </c>
      <c r="B255" s="41" t="inlineStr">
        <is>
          <t>Central India</t>
        </is>
      </c>
      <c r="C255" s="41" t="inlineStr">
        <is>
          <t>VM</t>
        </is>
      </c>
      <c r="D255" s="41" t="inlineStr">
        <is>
          <t>per hour</t>
        </is>
      </c>
      <c r="E255" s="52" t="n">
        <v>0.0448</v>
      </c>
      <c r="F255" s="42">
        <f>E255*$B$217</f>
        <v/>
      </c>
      <c r="G255" s="41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255" s="53" t="inlineStr">
        <is>
          <t>2026-09-15T09:05:38.277193+00:00</t>
        </is>
      </c>
    </row>
    <row r="256" hidden="1" outlineLevel="1" ht="68.25" customHeight="1" s="22">
      <c r="A256" s="41" t="inlineStr">
        <is>
          <t>Azure</t>
        </is>
      </c>
      <c r="B256" s="41" t="inlineStr">
        <is>
          <t>Central India</t>
        </is>
      </c>
      <c r="C256" s="41" t="inlineStr">
        <is>
          <t>Kubernetes control plane</t>
        </is>
      </c>
      <c r="D256" s="41" t="inlineStr">
        <is>
          <t>per cluster-hour</t>
        </is>
      </c>
      <c r="E256" s="52" t="n">
        <v>0.1</v>
      </c>
      <c r="F256" s="42">
        <f>E256*$B$217</f>
        <v/>
      </c>
      <c r="G256" s="41" t="inlineStr">
        <is>
          <t>https://prices.azure.com/api/retail/prices?%24filter=meterId+eq+%27251a08e1-40d6-48e6-8368-4c3e5ee3bbff%27+and+armRegionName+eq+%27centralindia%27+and+priceType+eq+%27Consumption%27&amp;currencyCode=USD</t>
        </is>
      </c>
      <c r="H256" s="53" t="inlineStr">
        <is>
          <t>2026-09-15T09:05:38.277193+00:00</t>
        </is>
      </c>
    </row>
    <row r="257" hidden="1" outlineLevel="1" ht="68.25" customHeight="1" s="22">
      <c r="A257" s="41" t="inlineStr">
        <is>
          <t>Azure</t>
        </is>
      </c>
      <c r="B257" s="41" t="inlineStr">
        <is>
          <t>Central India</t>
        </is>
      </c>
      <c r="C257" s="41" t="inlineStr">
        <is>
          <t>Kubernetes worker</t>
        </is>
      </c>
      <c r="D257" s="41" t="inlineStr">
        <is>
          <t>per VM-hour</t>
        </is>
      </c>
      <c r="E257" s="52" t="n">
        <v>0.202</v>
      </c>
      <c r="F257" s="42">
        <f>E257*$B$217</f>
        <v/>
      </c>
      <c r="G257" s="41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257" s="53" t="inlineStr">
        <is>
          <t>2026-09-15T09:05:38.277193+00:00</t>
        </is>
      </c>
    </row>
    <row r="258" hidden="1" outlineLevel="1" ht="68.25" customHeight="1" s="22">
      <c r="A258" s="41" t="inlineStr">
        <is>
          <t>Azure</t>
        </is>
      </c>
      <c r="B258" s="41" t="inlineStr">
        <is>
          <t>Central India</t>
        </is>
      </c>
      <c r="C258" s="41" t="inlineStr">
        <is>
          <t>Disk</t>
        </is>
      </c>
      <c r="D258" s="41" t="inlineStr">
        <is>
          <t>GB-month</t>
        </is>
      </c>
      <c r="E258" s="52" t="n">
        <v>0.164984375</v>
      </c>
      <c r="F258" s="42">
        <f>E258*$B$217</f>
        <v/>
      </c>
      <c r="G258" s="41" t="inlineStr">
        <is>
          <t>https://prices.azure.com/api/retail/prices?%24filter=meterId+eq+%27ed9e91d2-0f0c-4d55-b3dd-7f69d4708b22%27+and+armRegionName+eq+%27centralindia%27+and+priceType+eq+%27Consumption%27&amp;currencyCode=USD</t>
        </is>
      </c>
      <c r="H258" s="53" t="inlineStr">
        <is>
          <t>2026-09-15T09:05:38.277193+00:00</t>
        </is>
      </c>
    </row>
    <row r="259" hidden="1" outlineLevel="1" ht="68.25" customHeight="1" s="22">
      <c r="A259" s="41" t="inlineStr">
        <is>
          <t>Azure</t>
        </is>
      </c>
      <c r="B259" s="41" t="inlineStr">
        <is>
          <t>Central India</t>
        </is>
      </c>
      <c r="C259" s="41" t="inlineStr">
        <is>
          <t>Storage</t>
        </is>
      </c>
      <c r="D259" s="41" t="inlineStr">
        <is>
          <t>GB-month</t>
        </is>
      </c>
      <c r="E259" s="52" t="n">
        <v>0.21</v>
      </c>
      <c r="F259" s="42">
        <f>E259*$B$217</f>
        <v/>
      </c>
      <c r="G259" s="41" t="inlineStr">
        <is>
          <t>https://prices.azure.com/api/retail/prices?%24filter=meterId+eq+%27e7835f46-4557-4a90-b05a-9033deda4811%27+and+armRegionName+eq+%27centralindia%27+and+priceType+eq+%27Consumption%27&amp;currencyCode=USD</t>
        </is>
      </c>
      <c r="H259" s="53" t="inlineStr">
        <is>
          <t>2026-09-15T09:05:38.277193+00:00</t>
        </is>
      </c>
    </row>
    <row r="260" hidden="1" outlineLevel="1" ht="41.25" customHeight="1" s="22">
      <c r="A260" s="41" t="inlineStr">
        <is>
          <t>Azure</t>
        </is>
      </c>
      <c r="B260" s="41" t="inlineStr">
        <is>
          <t>Central India</t>
        </is>
      </c>
      <c r="C260" s="41" t="inlineStr">
        <is>
          <t>Egress</t>
        </is>
      </c>
      <c r="D260" s="41" t="inlineStr">
        <is>
          <t>per GB</t>
        </is>
      </c>
      <c r="E260" s="52" t="n">
        <v>0</v>
      </c>
      <c r="F260" s="42">
        <f>E260*$B$217</f>
        <v/>
      </c>
      <c r="G260" s="41" t="inlineStr">
        <is>
          <t>https://azure.microsoft.com/en-us/pricing/</t>
        </is>
      </c>
      <c r="H260" s="53" t="inlineStr">
        <is>
          <t>2026-09-15T09:05:38.277193+00:00</t>
        </is>
      </c>
    </row>
    <row r="261" hidden="1" outlineLevel="1" ht="41.25" customHeight="1" s="22">
      <c r="A261" s="41" t="inlineStr">
        <is>
          <t>Azure</t>
        </is>
      </c>
      <c r="B261" s="41" t="inlineStr">
        <is>
          <t>Central India</t>
        </is>
      </c>
      <c r="C261" s="41" t="inlineStr">
        <is>
          <t>Build runner</t>
        </is>
      </c>
      <c r="D261" s="41" t="inlineStr">
        <is>
          <t>per build minute</t>
        </is>
      </c>
      <c r="E261" s="52" t="n">
        <v>0</v>
      </c>
      <c r="F261" s="42">
        <f>E261*$B$217</f>
        <v/>
      </c>
      <c r="G261" s="41" t="inlineStr">
        <is>
          <t>https://azure.microsoft.com/en-us/pricing/</t>
        </is>
      </c>
      <c r="H261" s="53" t="inlineStr">
        <is>
          <t>2026-09-15T09:05:38.277193+00:00</t>
        </is>
      </c>
    </row>
    <row r="262" hidden="1" outlineLevel="1" ht="41.25" customHeight="1" s="22">
      <c r="A262" s="41" t="inlineStr">
        <is>
          <t>Azure</t>
        </is>
      </c>
      <c r="B262" s="41" t="inlineStr">
        <is>
          <t>Central India</t>
        </is>
      </c>
      <c r="C262" s="41" t="inlineStr">
        <is>
          <t>Managed database</t>
        </is>
      </c>
      <c r="D262" s="41" t="inlineStr">
        <is>
          <t>per hour</t>
        </is>
      </c>
      <c r="E262" s="52" t="n">
        <v>0</v>
      </c>
      <c r="F262" s="42">
        <f>E262*$B$217</f>
        <v/>
      </c>
      <c r="G262" s="41" t="inlineStr">
        <is>
          <t>https://azure.microsoft.com/en-us/pricing/</t>
        </is>
      </c>
      <c r="H262" s="53" t="inlineStr">
        <is>
          <t>2026-09-15T09:05:38.277193+00:00</t>
        </is>
      </c>
    </row>
    <row r="263" hidden="1" outlineLevel="1" ht="41.25" customHeight="1" s="22">
      <c r="A263" s="41" t="inlineStr">
        <is>
          <t>Azure</t>
        </is>
      </c>
      <c r="B263" s="41" t="inlineStr">
        <is>
          <t>Central India</t>
        </is>
      </c>
      <c r="C263" s="41" t="inlineStr">
        <is>
          <t>Monitoring</t>
        </is>
      </c>
      <c r="D263" s="41" t="inlineStr">
        <is>
          <t>per GB</t>
        </is>
      </c>
      <c r="E263" s="52" t="n">
        <v>0</v>
      </c>
      <c r="F263" s="42">
        <f>E263*$B$217</f>
        <v/>
      </c>
      <c r="G263" s="41" t="inlineStr">
        <is>
          <t>https://azure.microsoft.com/en-us/pricing/</t>
        </is>
      </c>
      <c r="H263" s="53" t="inlineStr">
        <is>
          <t>2026-09-15T09:05:38.277193+00:00</t>
        </is>
      </c>
    </row>
    <row r="264" hidden="1" outlineLevel="1" ht="30" customHeight="1" s="22">
      <c r="A264" s="41" t="inlineStr">
        <is>
          <t>GCP</t>
        </is>
      </c>
      <c r="B264" s="41" t="inlineStr">
        <is>
          <t>GCP Mumbai</t>
        </is>
      </c>
      <c r="C264" s="41" t="inlineStr">
        <is>
          <t>VM</t>
        </is>
      </c>
      <c r="D264" s="41" t="inlineStr">
        <is>
          <t>per hour</t>
        </is>
      </c>
      <c r="G264" s="41" t="inlineStr">
        <is>
          <t>https://cloud.google.com/compute/vm-instance-pricing</t>
        </is>
      </c>
      <c r="H264" s="53" t="inlineStr">
        <is>
          <t>Not priced for this quote</t>
        </is>
      </c>
    </row>
    <row r="265" hidden="1" outlineLevel="1" ht="30" customHeight="1" s="22">
      <c r="A265" s="41" t="inlineStr">
        <is>
          <t>GCP</t>
        </is>
      </c>
      <c r="B265" s="41" t="inlineStr">
        <is>
          <t>GCP Mumbai</t>
        </is>
      </c>
      <c r="C265" s="41" t="inlineStr">
        <is>
          <t>Kubernetes control plane</t>
        </is>
      </c>
      <c r="D265" s="41" t="inlineStr">
        <is>
          <t>per cluster-hour</t>
        </is>
      </c>
      <c r="G265" s="41" t="inlineStr">
        <is>
          <t>https://cloud.google.com/kubernetes-engine/pricing</t>
        </is>
      </c>
      <c r="H265" s="53" t="inlineStr">
        <is>
          <t>Not priced for this quote</t>
        </is>
      </c>
    </row>
    <row r="266" hidden="1" outlineLevel="1" ht="30" customHeight="1" s="22">
      <c r="A266" s="41" t="inlineStr">
        <is>
          <t>GCP</t>
        </is>
      </c>
      <c r="B266" s="41" t="inlineStr">
        <is>
          <t>GCP Mumbai</t>
        </is>
      </c>
      <c r="C266" s="41" t="inlineStr">
        <is>
          <t>Kubernetes worker</t>
        </is>
      </c>
      <c r="D266" s="41" t="inlineStr">
        <is>
          <t>per VM-hour</t>
        </is>
      </c>
      <c r="G266" s="41" t="inlineStr">
        <is>
          <t>https://cloud.google.com/compute/vm-instance-pricing</t>
        </is>
      </c>
      <c r="H266" s="53" t="inlineStr">
        <is>
          <t>Not priced for this quote</t>
        </is>
      </c>
    </row>
    <row r="267" hidden="1" outlineLevel="1" ht="30" customHeight="1" s="22">
      <c r="A267" s="41" t="inlineStr">
        <is>
          <t>GCP</t>
        </is>
      </c>
      <c r="B267" s="41" t="inlineStr">
        <is>
          <t>GCP Mumbai</t>
        </is>
      </c>
      <c r="C267" s="41" t="inlineStr">
        <is>
          <t>Disk</t>
        </is>
      </c>
      <c r="D267" s="41" t="inlineStr">
        <is>
          <t>GB-month</t>
        </is>
      </c>
      <c r="G267" s="41" t="inlineStr">
        <is>
          <t>https://cloud.google.com/compute/disks-image-pricing</t>
        </is>
      </c>
      <c r="H267" s="53" t="inlineStr">
        <is>
          <t>Not priced for this quote</t>
        </is>
      </c>
    </row>
    <row r="268" hidden="1" outlineLevel="1" ht="30" customHeight="1" s="22">
      <c r="A268" s="41" t="inlineStr">
        <is>
          <t>GCP</t>
        </is>
      </c>
      <c r="B268" s="41" t="inlineStr">
        <is>
          <t>GCP Mumbai</t>
        </is>
      </c>
      <c r="C268" s="41" t="inlineStr">
        <is>
          <t>Storage</t>
        </is>
      </c>
      <c r="D268" s="41" t="inlineStr">
        <is>
          <t>GB-month</t>
        </is>
      </c>
      <c r="G268" s="41" t="inlineStr">
        <is>
          <t>https://cloud.google.com/storage/pricing</t>
        </is>
      </c>
      <c r="H268" s="53" t="inlineStr">
        <is>
          <t>Not priced for this quote</t>
        </is>
      </c>
    </row>
    <row r="269" hidden="1" outlineLevel="1" ht="30" customHeight="1" s="22">
      <c r="A269" s="41" t="inlineStr">
        <is>
          <t>GCP</t>
        </is>
      </c>
      <c r="B269" s="41" t="inlineStr">
        <is>
          <t>GCP Mumbai</t>
        </is>
      </c>
      <c r="C269" s="41" t="inlineStr">
        <is>
          <t>Egress</t>
        </is>
      </c>
      <c r="D269" s="41" t="inlineStr">
        <is>
          <t>per GB</t>
        </is>
      </c>
      <c r="G269" s="41" t="inlineStr">
        <is>
          <t>https://cloud.google.com/vpc/network-pricing</t>
        </is>
      </c>
      <c r="H269" s="53" t="inlineStr">
        <is>
          <t>Not priced for this quote</t>
        </is>
      </c>
    </row>
    <row r="270" hidden="1" outlineLevel="1" ht="30" customHeight="1" s="22">
      <c r="A270" s="41" t="inlineStr">
        <is>
          <t>GCP</t>
        </is>
      </c>
      <c r="B270" s="41" t="inlineStr">
        <is>
          <t>GCP Mumbai</t>
        </is>
      </c>
      <c r="C270" s="41" t="inlineStr">
        <is>
          <t>Build runner</t>
        </is>
      </c>
      <c r="D270" s="41" t="inlineStr">
        <is>
          <t>per build minute</t>
        </is>
      </c>
      <c r="G270" s="41" t="inlineStr">
        <is>
          <t>https://cloud.google.com/build/pricing</t>
        </is>
      </c>
      <c r="H270" s="53" t="inlineStr">
        <is>
          <t>Not priced for this quote</t>
        </is>
      </c>
    </row>
    <row r="271" hidden="1" outlineLevel="1" ht="30" customHeight="1" s="22">
      <c r="A271" s="41" t="inlineStr">
        <is>
          <t>GCP</t>
        </is>
      </c>
      <c r="B271" s="41" t="inlineStr">
        <is>
          <t>GCP Mumbai</t>
        </is>
      </c>
      <c r="C271" s="41" t="inlineStr">
        <is>
          <t>Managed database</t>
        </is>
      </c>
      <c r="D271" s="41" t="inlineStr">
        <is>
          <t>per hour</t>
        </is>
      </c>
      <c r="G271" s="41" t="inlineStr">
        <is>
          <t>https://cloud.google.com/sql/pricing</t>
        </is>
      </c>
      <c r="H271" s="53" t="inlineStr">
        <is>
          <t>Not priced for this quote</t>
        </is>
      </c>
    </row>
    <row r="272" hidden="1" outlineLevel="1" ht="30" customHeight="1" s="22">
      <c r="A272" s="41" t="inlineStr">
        <is>
          <t>GCP</t>
        </is>
      </c>
      <c r="B272" s="41" t="inlineStr">
        <is>
          <t>GCP Mumbai</t>
        </is>
      </c>
      <c r="C272" s="41" t="inlineStr">
        <is>
          <t>Monitoring</t>
        </is>
      </c>
      <c r="D272" s="41" t="inlineStr">
        <is>
          <t>per GB</t>
        </is>
      </c>
      <c r="G272" s="41" t="inlineStr">
        <is>
          <t>https://cloud.google.com/stackdriver/pricing</t>
        </is>
      </c>
      <c r="H272" s="53" t="inlineStr">
        <is>
          <t>Not priced for this quote</t>
        </is>
      </c>
    </row>
    <row r="273" hidden="1" outlineLevel="1" ht="68.25" customHeight="1" s="22">
      <c r="A273" s="41" t="inlineStr">
        <is>
          <t>Azure</t>
        </is>
      </c>
      <c r="B273" s="41" t="inlineStr">
        <is>
          <t>Central India</t>
        </is>
      </c>
      <c r="C273" s="41" t="inlineStr">
        <is>
          <t>VM Light</t>
        </is>
      </c>
      <c r="D273" s="41" t="inlineStr">
        <is>
          <t>per hour</t>
        </is>
      </c>
      <c r="E273" s="52" t="n">
        <v>0.0448</v>
      </c>
      <c r="F273" s="42">
        <f>E273*$B$217</f>
        <v/>
      </c>
      <c r="G273" s="41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273" s="53" t="inlineStr">
        <is>
          <t>2026-09-15T09:05:38.277193+00:00</t>
        </is>
      </c>
    </row>
    <row r="274" hidden="1" outlineLevel="1" ht="68.25" customHeight="1" s="22">
      <c r="A274" s="41" t="inlineStr">
        <is>
          <t>Azure</t>
        </is>
      </c>
      <c r="B274" s="41" t="inlineStr">
        <is>
          <t>Central India</t>
        </is>
      </c>
      <c r="C274" s="41" t="inlineStr">
        <is>
          <t>VM Heavy</t>
        </is>
      </c>
      <c r="D274" s="41" t="inlineStr">
        <is>
          <t>per hour</t>
        </is>
      </c>
      <c r="E274" s="52" t="n">
        <v>0.202</v>
      </c>
      <c r="F274" s="42">
        <f>E274*$B$217</f>
        <v/>
      </c>
      <c r="G274" s="41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274" s="53" t="inlineStr">
        <is>
          <t>2026-09-15T09:05:38.277193+00:00</t>
        </is>
      </c>
    </row>
    <row r="275" ht="20" customHeight="1" s="22"/>
    <row r="276" ht="20" customHeight="1" s="22"/>
    <row r="277" ht="20" customHeight="1" s="22">
      <c r="A277" s="38" t="inlineStr">
        <is>
          <t>AZURE — TOC Mapping</t>
        </is>
      </c>
    </row>
    <row r="278" hidden="1" outlineLevel="1" ht="30" customHeight="1" s="22">
      <c r="A278" s="39" t="inlineStr">
        <is>
          <t>Training TOC → Infrastructure Mapping</t>
        </is>
      </c>
    </row>
    <row r="279" hidden="1" outlineLevel="1" ht="30" customHeight="1" s="22"/>
    <row r="280" hidden="1" outlineLevel="1" ht="30" customHeight="1" s="22">
      <c r="A280" s="40" t="inlineStr">
        <is>
          <t>Day</t>
        </is>
      </c>
      <c r="B280" s="40" t="inlineStr">
        <is>
          <t>Training topic</t>
        </is>
      </c>
      <c r="C280" s="40" t="inlineStr">
        <is>
          <t>VM qty</t>
        </is>
      </c>
      <c r="D280" s="40" t="inlineStr">
        <is>
          <t>VM profile</t>
        </is>
      </c>
      <c r="E280" s="40" t="inlineStr">
        <is>
          <t>K8s control plane</t>
        </is>
      </c>
      <c r="F280" s="40" t="inlineStr">
        <is>
          <t>K8s worker nodes</t>
        </is>
      </c>
      <c r="G280" s="40" t="inlineStr">
        <is>
          <t>Managed DB</t>
        </is>
      </c>
      <c r="H280" s="40" t="inlineStr">
        <is>
          <t>Object storage</t>
        </is>
      </c>
      <c r="I280" s="40" t="inlineStr">
        <is>
          <t>Active days</t>
        </is>
      </c>
    </row>
    <row r="281" hidden="1" outlineLevel="1" ht="30" customHeight="1" s="22">
      <c r="A281" s="54" t="n">
        <v>1</v>
      </c>
      <c r="B281" s="54" t="inlineStr">
        <is>
          <t>DevOps Orientation, SDLC and Agile Delivery</t>
        </is>
      </c>
      <c r="C281" s="54" t="n">
        <v>34</v>
      </c>
      <c r="D281" s="54" t="inlineStr">
        <is>
          <t>Heavy</t>
        </is>
      </c>
      <c r="E281" s="54" t="n">
        <v>0</v>
      </c>
      <c r="F281" s="54" t="n">
        <v>0</v>
      </c>
      <c r="G281" s="54" t="n">
        <v>0</v>
      </c>
      <c r="H281" s="54" t="n">
        <v>0</v>
      </c>
      <c r="I281" s="54" t="n">
        <v>1</v>
      </c>
    </row>
    <row r="282" hidden="1" outlineLevel="1" ht="30" customHeight="1" s="22">
      <c r="A282" s="54" t="n">
        <v>2</v>
      </c>
      <c r="B282" s="54" t="inlineStr">
        <is>
          <t>Linux Fundamentals for DevOps</t>
        </is>
      </c>
      <c r="C282" s="54" t="n">
        <v>34</v>
      </c>
      <c r="D282" s="54" t="inlineStr">
        <is>
          <t>Light</t>
        </is>
      </c>
      <c r="E282" s="54" t="n">
        <v>0</v>
      </c>
      <c r="F282" s="54" t="n">
        <v>0</v>
      </c>
      <c r="G282" s="54" t="n">
        <v>0</v>
      </c>
      <c r="H282" s="54" t="n">
        <v>0</v>
      </c>
      <c r="I282" s="54" t="n">
        <v>1</v>
      </c>
    </row>
    <row r="283" hidden="1" outlineLevel="1" ht="30" customHeight="1" s="22">
      <c r="A283" s="54" t="n">
        <v>3</v>
      </c>
      <c r="B283" s="54" t="inlineStr">
        <is>
          <t>Shell Scripting and Automation</t>
        </is>
      </c>
      <c r="C283" s="54" t="n">
        <v>34</v>
      </c>
      <c r="D283" s="54" t="inlineStr">
        <is>
          <t>Light</t>
        </is>
      </c>
      <c r="E283" s="54" t="n">
        <v>0</v>
      </c>
      <c r="F283" s="54" t="n">
        <v>0</v>
      </c>
      <c r="G283" s="54" t="n">
        <v>0</v>
      </c>
      <c r="H283" s="54" t="n">
        <v>0</v>
      </c>
      <c r="I283" s="54" t="n">
        <v>1</v>
      </c>
    </row>
    <row r="284" hidden="1" outlineLevel="1" ht="30" customHeight="1" s="22">
      <c r="A284" s="54" t="n">
        <v>4</v>
      </c>
      <c r="B284" s="54" t="inlineStr">
        <is>
          <t>Networking, SSH and Web Basics</t>
        </is>
      </c>
      <c r="C284" s="54" t="n">
        <v>34</v>
      </c>
      <c r="D284" s="54" t="inlineStr">
        <is>
          <t>Light</t>
        </is>
      </c>
      <c r="E284" s="54" t="n">
        <v>0</v>
      </c>
      <c r="F284" s="54" t="n">
        <v>0</v>
      </c>
      <c r="G284" s="54" t="n">
        <v>0</v>
      </c>
      <c r="H284" s="54" t="n">
        <v>0</v>
      </c>
      <c r="I284" s="54" t="n">
        <v>1</v>
      </c>
    </row>
    <row r="285" hidden="1" outlineLevel="1" ht="30" customHeight="1" s="22">
      <c r="A285" s="54" t="n">
        <v>5</v>
      </c>
      <c r="B285" s="54" t="inlineStr">
        <is>
          <t>Git and GitHub Collaboration</t>
        </is>
      </c>
      <c r="C285" s="54" t="n">
        <v>34</v>
      </c>
      <c r="D285" s="54" t="inlineStr">
        <is>
          <t>Light</t>
        </is>
      </c>
      <c r="E285" s="54" t="n">
        <v>0</v>
      </c>
      <c r="F285" s="54" t="n">
        <v>0</v>
      </c>
      <c r="G285" s="54" t="n">
        <v>0</v>
      </c>
      <c r="H285" s="54" t="n">
        <v>0</v>
      </c>
      <c r="I285" s="54" t="n">
        <v>1</v>
      </c>
    </row>
    <row r="286" hidden="1" outlineLevel="1" ht="30" customHeight="1" s="22">
      <c r="A286" s="54" t="n">
        <v>6</v>
      </c>
      <c r="B286" s="54" t="inlineStr">
        <is>
          <t>Build Tools and Artifact Management</t>
        </is>
      </c>
      <c r="C286" s="54" t="n">
        <v>34</v>
      </c>
      <c r="D286" s="54" t="inlineStr">
        <is>
          <t>Light</t>
        </is>
      </c>
      <c r="E286" s="54" t="n">
        <v>0</v>
      </c>
      <c r="F286" s="54" t="n">
        <v>0</v>
      </c>
      <c r="G286" s="54" t="n">
        <v>0</v>
      </c>
      <c r="H286" s="54" t="n">
        <v>0</v>
      </c>
      <c r="I286" s="54" t="n">
        <v>1</v>
      </c>
    </row>
    <row r="287" hidden="1" outlineLevel="1" ht="30" customHeight="1" s="22">
      <c r="A287" s="54" t="n">
        <v>7</v>
      </c>
      <c r="B287" s="54" t="inlineStr">
        <is>
          <t>Jenkins Fundamentals</t>
        </is>
      </c>
      <c r="C287" s="54" t="n">
        <v>34</v>
      </c>
      <c r="D287" s="54" t="inlineStr">
        <is>
          <t>Heavy</t>
        </is>
      </c>
      <c r="E287" s="54" t="n">
        <v>0</v>
      </c>
      <c r="F287" s="54" t="n">
        <v>0</v>
      </c>
      <c r="G287" s="54" t="n">
        <v>0</v>
      </c>
      <c r="H287" s="54" t="n">
        <v>0</v>
      </c>
      <c r="I287" s="54" t="n">
        <v>1</v>
      </c>
    </row>
    <row r="288" hidden="1" outlineLevel="1" ht="30" customHeight="1" s="22">
      <c r="A288" s="54" t="n">
        <v>8</v>
      </c>
      <c r="B288" s="54" t="inlineStr">
        <is>
          <t>GitHub Actions and GitLab CI</t>
        </is>
      </c>
      <c r="C288" s="54" t="n">
        <v>34</v>
      </c>
      <c r="D288" s="54" t="inlineStr">
        <is>
          <t>Light</t>
        </is>
      </c>
      <c r="E288" s="54" t="n">
        <v>0</v>
      </c>
      <c r="F288" s="54" t="n">
        <v>0</v>
      </c>
      <c r="G288" s="54" t="n">
        <v>0</v>
      </c>
      <c r="H288" s="54" t="n">
        <v>0</v>
      </c>
      <c r="I288" s="54" t="n">
        <v>1</v>
      </c>
    </row>
    <row r="289" hidden="1" outlineLevel="1" ht="30" customHeight="1" s="22">
      <c r="A289" s="54" t="n">
        <v>9</v>
      </c>
      <c r="B289" s="54" t="inlineStr">
        <is>
          <t>Docker Compose and Multi-Container Apps</t>
        </is>
      </c>
      <c r="C289" s="54" t="n">
        <v>34</v>
      </c>
      <c r="D289" s="54" t="inlineStr">
        <is>
          <t>Heavy</t>
        </is>
      </c>
      <c r="E289" s="54" t="n">
        <v>0</v>
      </c>
      <c r="F289" s="54" t="n">
        <v>0</v>
      </c>
      <c r="G289" s="54" t="n">
        <v>0</v>
      </c>
      <c r="H289" s="54" t="n">
        <v>0</v>
      </c>
      <c r="I289" s="54" t="n">
        <v>1</v>
      </c>
    </row>
    <row r="290" hidden="1" outlineLevel="1" ht="30" customHeight="1" s="22">
      <c r="A290" s="54" t="n">
        <v>10</v>
      </c>
      <c r="B290" s="54" t="inlineStr">
        <is>
          <t>Kubernetes Architecture</t>
        </is>
      </c>
      <c r="C290" s="54" t="n">
        <v>34</v>
      </c>
      <c r="D290" s="54" t="inlineStr">
        <is>
          <t>Heavy</t>
        </is>
      </c>
      <c r="E290" s="54" t="n">
        <v>0</v>
      </c>
      <c r="F290" s="54" t="n">
        <v>0</v>
      </c>
      <c r="G290" s="54" t="n">
        <v>0</v>
      </c>
      <c r="H290" s="54" t="n">
        <v>0</v>
      </c>
      <c r="I290" s="54" t="n">
        <v>1</v>
      </c>
    </row>
    <row r="291" hidden="1" outlineLevel="1" ht="30" customHeight="1" s="22">
      <c r="A291" s="54" t="n">
        <v>11</v>
      </c>
      <c r="B291" s="54" t="inlineStr">
        <is>
          <t>Kubernetes Workloads and Services</t>
        </is>
      </c>
      <c r="C291" s="54" t="n">
        <v>34</v>
      </c>
      <c r="D291" s="54" t="inlineStr">
        <is>
          <t>Heavy</t>
        </is>
      </c>
      <c r="E291" s="54" t="n">
        <v>0</v>
      </c>
      <c r="F291" s="54" t="n">
        <v>0</v>
      </c>
      <c r="G291" s="54" t="n">
        <v>0</v>
      </c>
      <c r="H291" s="54" t="n">
        <v>0</v>
      </c>
      <c r="I291" s="54" t="n">
        <v>1</v>
      </c>
    </row>
    <row r="292" hidden="1" outlineLevel="1" ht="30" customHeight="1" s="22">
      <c r="A292" s="54" t="n">
        <v>12</v>
      </c>
      <c r="B292" s="54" t="inlineStr">
        <is>
          <t>Helm Package Management</t>
        </is>
      </c>
      <c r="C292" s="54" t="n">
        <v>34</v>
      </c>
      <c r="D292" s="54" t="inlineStr">
        <is>
          <t>Heavy</t>
        </is>
      </c>
      <c r="E292" s="54" t="n">
        <v>0</v>
      </c>
      <c r="F292" s="54" t="n">
        <v>0</v>
      </c>
      <c r="G292" s="54" t="n">
        <v>0</v>
      </c>
      <c r="H292" s="54" t="n">
        <v>0</v>
      </c>
      <c r="I292" s="54" t="n">
        <v>1</v>
      </c>
    </row>
    <row r="293" hidden="1" outlineLevel="1" ht="30" customHeight="1" s="22">
      <c r="A293" s="54" t="n">
        <v>13</v>
      </c>
      <c r="B293" s="54" t="inlineStr">
        <is>
          <t>AWS CI/CD and Container Services</t>
        </is>
      </c>
      <c r="C293" s="54" t="n">
        <v>34</v>
      </c>
      <c r="D293" s="54" t="inlineStr">
        <is>
          <t>Heavy</t>
        </is>
      </c>
      <c r="E293" s="54" t="n">
        <v>1</v>
      </c>
      <c r="F293" s="54" t="n">
        <v>1</v>
      </c>
      <c r="G293" s="54" t="n">
        <v>0</v>
      </c>
      <c r="H293" s="54" t="n">
        <v>0</v>
      </c>
      <c r="I293" s="54" t="n">
        <v>1</v>
      </c>
    </row>
    <row r="294" hidden="1" outlineLevel="1" ht="30" customHeight="1" s="22">
      <c r="A294" s="54" t="n">
        <v>14</v>
      </c>
      <c r="B294" s="54" t="inlineStr">
        <is>
          <t>Azure Pipelines and AKS</t>
        </is>
      </c>
      <c r="C294" s="54" t="n">
        <v>34</v>
      </c>
      <c r="D294" s="54" t="inlineStr">
        <is>
          <t>Heavy</t>
        </is>
      </c>
      <c r="E294" s="54" t="n">
        <v>1</v>
      </c>
      <c r="F294" s="54" t="n">
        <v>1</v>
      </c>
      <c r="G294" s="54" t="n">
        <v>0</v>
      </c>
      <c r="H294" s="54" t="n">
        <v>0</v>
      </c>
      <c r="I294" s="54" t="n">
        <v>1</v>
      </c>
    </row>
    <row r="295" hidden="1" outlineLevel="1" ht="30" customHeight="1" s="22">
      <c r="A295" s="54" t="n">
        <v>15</v>
      </c>
      <c r="B295" s="54" t="inlineStr">
        <is>
          <t>Terraform Modules and Environments</t>
        </is>
      </c>
      <c r="C295" s="54" t="n">
        <v>34</v>
      </c>
      <c r="D295" s="54" t="inlineStr">
        <is>
          <t>Heavy</t>
        </is>
      </c>
      <c r="E295" s="54" t="n">
        <v>0</v>
      </c>
      <c r="F295" s="54" t="n">
        <v>0</v>
      </c>
      <c r="G295" s="54" t="n">
        <v>0</v>
      </c>
      <c r="H295" s="54" t="n">
        <v>10</v>
      </c>
      <c r="I295" s="54" t="n">
        <v>1</v>
      </c>
    </row>
    <row r="296" hidden="1" outlineLevel="1" ht="30" customHeight="1" s="22">
      <c r="A296" s="54" t="n">
        <v>16</v>
      </c>
      <c r="B296" s="54" t="inlineStr">
        <is>
          <t>Ansible Configuration Management</t>
        </is>
      </c>
      <c r="C296" s="54" t="n">
        <v>34</v>
      </c>
      <c r="D296" s="54" t="inlineStr">
        <is>
          <t>Heavy</t>
        </is>
      </c>
      <c r="E296" s="54" t="n">
        <v>0</v>
      </c>
      <c r="F296" s="54" t="n">
        <v>0</v>
      </c>
      <c r="G296" s="54" t="n">
        <v>0</v>
      </c>
      <c r="H296" s="54" t="n">
        <v>0</v>
      </c>
      <c r="I296" s="54" t="n">
        <v>1</v>
      </c>
    </row>
    <row r="297" hidden="1" outlineLevel="1" ht="30" customHeight="1" s="22">
      <c r="A297" s="54" t="n">
        <v>17</v>
      </c>
      <c r="B297" s="54" t="inlineStr">
        <is>
          <t>Monitoring with Prometheus and Grafana</t>
        </is>
      </c>
      <c r="C297" s="54" t="n">
        <v>34</v>
      </c>
      <c r="D297" s="54" t="inlineStr">
        <is>
          <t>Heavy</t>
        </is>
      </c>
      <c r="E297" s="54" t="n">
        <v>0</v>
      </c>
      <c r="F297" s="54" t="n">
        <v>0</v>
      </c>
      <c r="G297" s="54" t="n">
        <v>0</v>
      </c>
      <c r="H297" s="54" t="n">
        <v>0</v>
      </c>
      <c r="I297" s="54" t="n">
        <v>1</v>
      </c>
    </row>
    <row r="298" hidden="1" outlineLevel="1" ht="30" customHeight="1" s="22">
      <c r="A298" s="54" t="n">
        <v>18</v>
      </c>
      <c r="B298" s="54" t="inlineStr">
        <is>
          <t>Release Management and Blue-Green Deployments</t>
        </is>
      </c>
      <c r="C298" s="54" t="n">
        <v>34</v>
      </c>
      <c r="D298" s="54" t="inlineStr">
        <is>
          <t>Heavy</t>
        </is>
      </c>
      <c r="E298" s="54" t="n">
        <v>0</v>
      </c>
      <c r="F298" s="54" t="n">
        <v>0</v>
      </c>
      <c r="G298" s="54" t="n">
        <v>0</v>
      </c>
      <c r="H298" s="54" t="n">
        <v>0</v>
      </c>
      <c r="I298" s="54" t="n">
        <v>1</v>
      </c>
    </row>
    <row r="299" hidden="1" outlineLevel="1" ht="30" customHeight="1" s="22">
      <c r="A299" s="54" t="n">
        <v>19</v>
      </c>
      <c r="B299" s="54" t="inlineStr">
        <is>
          <t>End-to-End DevOps Project Sprint</t>
        </is>
      </c>
      <c r="C299" s="54" t="n">
        <v>34</v>
      </c>
      <c r="D299" s="54" t="inlineStr">
        <is>
          <t>Heavy</t>
        </is>
      </c>
      <c r="E299" s="54" t="n">
        <v>0</v>
      </c>
      <c r="F299" s="54" t="n">
        <v>0</v>
      </c>
      <c r="G299" s="54" t="n">
        <v>0</v>
      </c>
      <c r="H299" s="54" t="n">
        <v>0</v>
      </c>
      <c r="I299" s="54" t="n">
        <v>1</v>
      </c>
    </row>
    <row r="300" hidden="1" outlineLevel="1" ht="30" customHeight="1" s="22">
      <c r="A300" s="54" t="n">
        <v>20</v>
      </c>
      <c r="B300" s="54" t="inlineStr">
        <is>
          <t>Capstone Demo and Certification Roadmap</t>
        </is>
      </c>
      <c r="C300" s="54" t="n">
        <v>34</v>
      </c>
      <c r="D300" s="54" t="inlineStr">
        <is>
          <t>Heavy</t>
        </is>
      </c>
      <c r="E300" s="54" t="n">
        <v>0</v>
      </c>
      <c r="F300" s="54" t="n">
        <v>0</v>
      </c>
      <c r="G300" s="54" t="n">
        <v>0</v>
      </c>
      <c r="H300" s="54" t="n">
        <v>0</v>
      </c>
      <c r="I300" s="54" t="n">
        <v>1</v>
      </c>
    </row>
    <row r="301" hidden="1" outlineLevel="1" ht="30" customHeight="1" s="22"/>
    <row r="302" hidden="1" outlineLevel="1" ht="30" customHeight="1" s="22">
      <c r="A302" s="45" t="inlineStr">
        <is>
          <t>Mapping note</t>
        </is>
      </c>
    </row>
    <row r="303" hidden="1" outlineLevel="1" ht="30" customHeight="1" s="22">
      <c r="A303" s="41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</row>
    <row r="304" hidden="1" outlineLevel="1" ht="30" customHeight="1" s="22"/>
    <row r="305" ht="20" customHeight="1" s="22"/>
    <row r="306" ht="20" customHeight="1" s="22"/>
    <row r="307" ht="20" customHeight="1" s="22">
      <c r="A307" s="38" t="inlineStr">
        <is>
          <t>AZURE — Live Price Check</t>
        </is>
      </c>
    </row>
    <row r="308" hidden="1" outlineLevel="1" ht="30" customHeight="1" s="22">
      <c r="A308" s="54" t="inlineStr">
        <is>
          <t>Resource</t>
        </is>
      </c>
      <c r="B308" s="54" t="inlineStr">
        <is>
          <t>SKU</t>
        </is>
      </c>
      <c r="C308" s="54" t="inlineStr">
        <is>
          <t>Billing dimension</t>
        </is>
      </c>
      <c r="D308" s="54" t="inlineStr">
        <is>
          <t>Unit</t>
        </is>
      </c>
      <c r="E308" s="54" t="inlineStr">
        <is>
          <t>USD rate</t>
        </is>
      </c>
      <c r="F308" s="54" t="inlineStr">
        <is>
          <t>Region</t>
        </is>
      </c>
      <c r="G308" s="54" t="inlineStr">
        <is>
          <t>Source</t>
        </is>
      </c>
      <c r="H308" s="54" t="inlineStr">
        <is>
          <t>Checked at</t>
        </is>
      </c>
      <c r="I308" s="54" t="inlineStr">
        <is>
          <t>Previous USD rate</t>
        </is>
      </c>
      <c r="J308" s="54" t="inlineStr">
        <is>
          <t>Change %</t>
        </is>
      </c>
      <c r="K308" s="54" t="inlineStr">
        <is>
          <t>Review required</t>
        </is>
      </c>
    </row>
    <row r="309" hidden="1" outlineLevel="1" ht="30" customHeight="1" s="22">
      <c r="A309" s="54" t="inlineStr">
        <is>
          <t>VM</t>
        </is>
      </c>
      <c r="B309" s="54" t="inlineStr">
        <is>
          <t>DZH318Z0BQ35/00PM</t>
        </is>
      </c>
      <c r="C309" s="54" t="inlineStr">
        <is>
          <t>734de0e1-404b-4c78-a340-a5f6498aca77</t>
        </is>
      </c>
      <c r="D309" s="54" t="inlineStr">
        <is>
          <t>1 Hour</t>
        </is>
      </c>
      <c r="E309" s="54" t="n">
        <v>0.0448</v>
      </c>
      <c r="F309" s="54" t="inlineStr">
        <is>
          <t>Central India</t>
        </is>
      </c>
      <c r="G309" s="54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309" s="54" t="inlineStr">
        <is>
          <t>2026-09-15T09:05:38.277193+00:00</t>
        </is>
      </c>
      <c r="I309" s="54" t="n">
        <v>0.0448</v>
      </c>
      <c r="J309" s="54" t="n">
        <v>0</v>
      </c>
      <c r="K309" s="54" t="inlineStr">
        <is>
          <t>No</t>
        </is>
      </c>
    </row>
    <row r="310" hidden="1" outlineLevel="1" ht="30" customHeight="1" s="22">
      <c r="A310" s="54" t="inlineStr">
        <is>
          <t>VM Light</t>
        </is>
      </c>
      <c r="B310" s="54" t="inlineStr">
        <is>
          <t>DZH318Z0BQ35/00PM</t>
        </is>
      </c>
      <c r="C310" s="54" t="inlineStr">
        <is>
          <t>734de0e1-404b-4c78-a340-a5f6498aca77</t>
        </is>
      </c>
      <c r="D310" s="54" t="inlineStr">
        <is>
          <t>1 Hour</t>
        </is>
      </c>
      <c r="E310" s="54" t="n">
        <v>0.0448</v>
      </c>
      <c r="F310" s="54" t="inlineStr">
        <is>
          <t>Central India</t>
        </is>
      </c>
      <c r="G310" s="54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310" s="54" t="inlineStr">
        <is>
          <t>2026-09-15T09:05:38.277193+00:00</t>
        </is>
      </c>
      <c r="I310" s="54" t="n">
        <v>0.0448</v>
      </c>
      <c r="J310" s="54" t="n">
        <v>0</v>
      </c>
      <c r="K310" s="54" t="inlineStr">
        <is>
          <t>No</t>
        </is>
      </c>
    </row>
    <row r="311" hidden="1" outlineLevel="1" ht="30" customHeight="1" s="22">
      <c r="A311" s="54" t="inlineStr">
        <is>
          <t>VM Heavy</t>
        </is>
      </c>
      <c r="B311" s="54" t="inlineStr">
        <is>
          <t>DZH318Z08M9W/007H</t>
        </is>
      </c>
      <c r="C311" s="54" t="inlineStr">
        <is>
          <t>2382d92d-4ce9-5330-9bb4-8ec9120e6a64</t>
        </is>
      </c>
      <c r="D311" s="54" t="inlineStr">
        <is>
          <t>1 Hour</t>
        </is>
      </c>
      <c r="E311" s="54" t="n">
        <v>0.202</v>
      </c>
      <c r="F311" s="54" t="inlineStr">
        <is>
          <t>Central India</t>
        </is>
      </c>
      <c r="G311" s="54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311" s="54" t="inlineStr">
        <is>
          <t>2026-09-15T09:05:38.277193+00:00</t>
        </is>
      </c>
      <c r="I311" s="54" t="n">
        <v>0.202</v>
      </c>
      <c r="J311" s="54" t="n">
        <v>0</v>
      </c>
      <c r="K311" s="54" t="inlineStr">
        <is>
          <t>No</t>
        </is>
      </c>
    </row>
    <row r="312" hidden="1" outlineLevel="1" ht="30" customHeight="1" s="22">
      <c r="A312" s="54" t="inlineStr">
        <is>
          <t>Kubernetes control plane</t>
        </is>
      </c>
      <c r="B312" s="54" t="inlineStr">
        <is>
          <t>DZH318Z0CQSH/0011</t>
        </is>
      </c>
      <c r="C312" s="54" t="inlineStr">
        <is>
          <t>251a08e1-40d6-48e6-8368-4c3e5ee3bbff</t>
        </is>
      </c>
      <c r="D312" s="54" t="inlineStr">
        <is>
          <t>1 Hour</t>
        </is>
      </c>
      <c r="E312" s="54" t="n">
        <v>0.1</v>
      </c>
      <c r="F312" s="54" t="inlineStr">
        <is>
          <t>Central India</t>
        </is>
      </c>
      <c r="G312" s="54" t="inlineStr">
        <is>
          <t>https://prices.azure.com/api/retail/prices?%24filter=meterId+eq+%27251a08e1-40d6-48e6-8368-4c3e5ee3bbff%27+and+armRegionName+eq+%27centralindia%27+and+priceType+eq+%27Consumption%27&amp;currencyCode=USD</t>
        </is>
      </c>
      <c r="H312" s="54" t="inlineStr">
        <is>
          <t>2026-09-15T09:05:38.277193+00:00</t>
        </is>
      </c>
      <c r="I312" s="54" t="n">
        <v>0.1</v>
      </c>
      <c r="J312" s="54" t="n">
        <v>0</v>
      </c>
      <c r="K312" s="54" t="inlineStr">
        <is>
          <t>No</t>
        </is>
      </c>
    </row>
    <row r="313" hidden="1" outlineLevel="1" ht="30" customHeight="1" s="22">
      <c r="A313" s="54" t="inlineStr">
        <is>
          <t>Kubernetes worker</t>
        </is>
      </c>
      <c r="B313" s="54" t="inlineStr">
        <is>
          <t>DZH318Z08M9W/007H</t>
        </is>
      </c>
      <c r="C313" s="54" t="inlineStr">
        <is>
          <t>2382d92d-4ce9-5330-9bb4-8ec9120e6a64</t>
        </is>
      </c>
      <c r="D313" s="54" t="inlineStr">
        <is>
          <t>1 Hour</t>
        </is>
      </c>
      <c r="E313" s="54" t="n">
        <v>0.202</v>
      </c>
      <c r="F313" s="54" t="inlineStr">
        <is>
          <t>Central India</t>
        </is>
      </c>
      <c r="G313" s="54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313" s="54" t="inlineStr">
        <is>
          <t>2026-09-15T09:05:38.277193+00:00</t>
        </is>
      </c>
      <c r="I313" s="54" t="n">
        <v>0.202</v>
      </c>
      <c r="J313" s="54" t="n">
        <v>0</v>
      </c>
      <c r="K313" s="54" t="inlineStr">
        <is>
          <t>No</t>
        </is>
      </c>
    </row>
    <row r="314" hidden="1" outlineLevel="1" ht="30" customHeight="1" s="22">
      <c r="A314" s="54" t="inlineStr">
        <is>
          <t>Disk</t>
        </is>
      </c>
      <c r="B314" s="54" t="inlineStr">
        <is>
          <t>DZH318Z0BP04/003T</t>
        </is>
      </c>
      <c r="C314" s="54" t="inlineStr">
        <is>
          <t>ed9e91d2-0f0c-4d55-b3dd-7f69d4708b22</t>
        </is>
      </c>
      <c r="D314" s="54" t="inlineStr">
        <is>
          <t>1 GB/Month</t>
        </is>
      </c>
      <c r="E314" s="54" t="n">
        <v>0.164984375</v>
      </c>
      <c r="F314" s="54" t="inlineStr">
        <is>
          <t>Central India</t>
        </is>
      </c>
      <c r="G314" s="54" t="inlineStr">
        <is>
          <t>https://prices.azure.com/api/retail/prices?%24filter=meterId+eq+%27ed9e91d2-0f0c-4d55-b3dd-7f69d4708b22%27+and+armRegionName+eq+%27centralindia%27+and+priceType+eq+%27Consumption%27&amp;currencyCode=USD</t>
        </is>
      </c>
      <c r="H314" s="54" t="inlineStr">
        <is>
          <t>2026-09-15T09:05:38.277193+00:00</t>
        </is>
      </c>
      <c r="I314" s="54" t="n">
        <v>0.164984375</v>
      </c>
      <c r="J314" s="54" t="n">
        <v>0</v>
      </c>
      <c r="K314" s="54" t="inlineStr">
        <is>
          <t>No</t>
        </is>
      </c>
    </row>
    <row r="315" hidden="1" outlineLevel="1" ht="30" customHeight="1" s="22">
      <c r="A315" s="54" t="inlineStr">
        <is>
          <t>Storage</t>
        </is>
      </c>
      <c r="B315" s="54" t="inlineStr">
        <is>
          <t>DZH318Z0BZ18/0014</t>
        </is>
      </c>
      <c r="C315" s="54" t="inlineStr">
        <is>
          <t>e7835f46-4557-4a90-b05a-9033deda4811</t>
        </is>
      </c>
      <c r="D315" s="54" t="inlineStr">
        <is>
          <t>1 GB/Month</t>
        </is>
      </c>
      <c r="E315" s="54" t="n">
        <v>0.21</v>
      </c>
      <c r="F315" s="54" t="inlineStr">
        <is>
          <t>Central India</t>
        </is>
      </c>
      <c r="G315" s="54" t="inlineStr">
        <is>
          <t>https://prices.azure.com/api/retail/prices?%24filter=meterId+eq+%27e7835f46-4557-4a90-b05a-9033deda4811%27+and+armRegionName+eq+%27centralindia%27+and+priceType+eq+%27Consumption%27&amp;currencyCode=USD</t>
        </is>
      </c>
      <c r="H315" s="54" t="inlineStr">
        <is>
          <t>2026-09-15T09:05:38.277193+00:00</t>
        </is>
      </c>
      <c r="I315" s="54" t="n">
        <v>0.21</v>
      </c>
      <c r="J315" s="54" t="n">
        <v>0</v>
      </c>
      <c r="K315" s="54" t="inlineStr">
        <is>
          <t>No</t>
        </is>
      </c>
    </row>
    <row r="316" hidden="1" outlineLevel="1" ht="30" customHeight="1" s="22">
      <c r="A316" s="54" t="inlineStr">
        <is>
          <t>Egress</t>
        </is>
      </c>
      <c r="B316" s="54" t="inlineStr">
        <is>
          <t>NOT_BILLED</t>
        </is>
      </c>
      <c r="C316" s="54" t="inlineStr">
        <is>
          <t>not-enabled</t>
        </is>
      </c>
      <c r="D316" s="54" t="inlineStr">
        <is>
          <t>GB</t>
        </is>
      </c>
      <c r="E316" s="54" t="n">
        <v>0</v>
      </c>
      <c r="F316" s="54" t="inlineStr">
        <is>
          <t>Central India</t>
        </is>
      </c>
      <c r="G316" s="54" t="inlineStr">
        <is>
          <t>https://azure.microsoft.com/en-us/pricing/</t>
        </is>
      </c>
      <c r="H316" s="54" t="inlineStr">
        <is>
          <t>2026-09-15T09:05:38.277193+00:00</t>
        </is>
      </c>
      <c r="I316" s="54" t="n">
        <v>0</v>
      </c>
      <c r="K316" s="54" t="inlineStr">
        <is>
          <t>No</t>
        </is>
      </c>
    </row>
    <row r="317" hidden="1" outlineLevel="1" ht="30" customHeight="1" s="22">
      <c r="A317" s="54" t="inlineStr">
        <is>
          <t>Build runner</t>
        </is>
      </c>
      <c r="B317" s="54" t="inlineStr">
        <is>
          <t>NOT_BILLED</t>
        </is>
      </c>
      <c r="C317" s="54" t="inlineStr">
        <is>
          <t>not-enabled</t>
        </is>
      </c>
      <c r="D317" s="54" t="inlineStr">
        <is>
          <t>1 Minute</t>
        </is>
      </c>
      <c r="E317" s="54" t="n">
        <v>0</v>
      </c>
      <c r="F317" s="54" t="inlineStr">
        <is>
          <t>Central India</t>
        </is>
      </c>
      <c r="G317" s="54" t="inlineStr">
        <is>
          <t>https://azure.microsoft.com/en-us/pricing/</t>
        </is>
      </c>
      <c r="H317" s="54" t="inlineStr">
        <is>
          <t>2026-09-15T09:05:38.277193+00:00</t>
        </is>
      </c>
      <c r="I317" s="54" t="n">
        <v>0</v>
      </c>
      <c r="K317" s="54" t="inlineStr">
        <is>
          <t>No</t>
        </is>
      </c>
    </row>
    <row r="318" hidden="1" outlineLevel="1" ht="30" customHeight="1" s="22">
      <c r="A318" s="54" t="inlineStr">
        <is>
          <t>Managed database</t>
        </is>
      </c>
      <c r="B318" s="54" t="inlineStr">
        <is>
          <t>NOT_BILLED</t>
        </is>
      </c>
      <c r="C318" s="54" t="inlineStr">
        <is>
          <t>not-enabled</t>
        </is>
      </c>
      <c r="D318" s="54" t="inlineStr">
        <is>
          <t>Hours</t>
        </is>
      </c>
      <c r="E318" s="54" t="n">
        <v>0</v>
      </c>
      <c r="F318" s="54" t="inlineStr">
        <is>
          <t>Central India</t>
        </is>
      </c>
      <c r="G318" s="54" t="inlineStr">
        <is>
          <t>https://azure.microsoft.com/en-us/pricing/</t>
        </is>
      </c>
      <c r="H318" s="54" t="inlineStr">
        <is>
          <t>2026-09-15T09:05:38.277193+00:00</t>
        </is>
      </c>
      <c r="I318" s="54" t="n">
        <v>0</v>
      </c>
      <c r="K318" s="54" t="inlineStr">
        <is>
          <t>No</t>
        </is>
      </c>
    </row>
    <row r="319" hidden="1" outlineLevel="1" ht="30" customHeight="1" s="22">
      <c r="A319" s="54" t="inlineStr">
        <is>
          <t>Monitoring</t>
        </is>
      </c>
      <c r="B319" s="54" t="inlineStr">
        <is>
          <t>NOT_BILLED</t>
        </is>
      </c>
      <c r="C319" s="54" t="inlineStr">
        <is>
          <t>not-enabled</t>
        </is>
      </c>
      <c r="D319" s="54" t="inlineStr">
        <is>
          <t>GB</t>
        </is>
      </c>
      <c r="E319" s="54" t="n">
        <v>0</v>
      </c>
      <c r="F319" s="54" t="inlineStr">
        <is>
          <t>Central India</t>
        </is>
      </c>
      <c r="G319" s="54" t="inlineStr">
        <is>
          <t>https://azure.microsoft.com/en-us/pricing/</t>
        </is>
      </c>
      <c r="H319" s="54" t="inlineStr">
        <is>
          <t>2026-09-15T09:05:38.277193+00:00</t>
        </is>
      </c>
      <c r="I319" s="54" t="n">
        <v>0</v>
      </c>
      <c r="K319" s="54" t="inlineStr">
        <is>
          <t>No</t>
        </is>
      </c>
    </row>
  </sheetData>
  <mergeCells count="58">
    <mergeCell ref="A5:J5"/>
    <mergeCell ref="B67:D67"/>
    <mergeCell ref="A22:D22"/>
    <mergeCell ref="A157:K157"/>
    <mergeCell ref="A82:K82"/>
    <mergeCell ref="B73:D73"/>
    <mergeCell ref="A38:D40"/>
    <mergeCell ref="A60:K60"/>
    <mergeCell ref="A63:D63"/>
    <mergeCell ref="B29:D29"/>
    <mergeCell ref="A123:H123"/>
    <mergeCell ref="B69:D69"/>
    <mergeCell ref="A1:K1"/>
    <mergeCell ref="B34:D34"/>
    <mergeCell ref="A44:J44"/>
    <mergeCell ref="B28:D28"/>
    <mergeCell ref="A302:I302"/>
    <mergeCell ref="A83:D83"/>
    <mergeCell ref="A187:K187"/>
    <mergeCell ref="A77:D79"/>
    <mergeCell ref="A243:H243"/>
    <mergeCell ref="B74:D74"/>
    <mergeCell ref="A277:K277"/>
    <mergeCell ref="A24:D24"/>
    <mergeCell ref="B30:D30"/>
    <mergeCell ref="B65:D65"/>
    <mergeCell ref="B68:D68"/>
    <mergeCell ref="A158:H158"/>
    <mergeCell ref="B64:D64"/>
    <mergeCell ref="B33:D33"/>
    <mergeCell ref="A61:D61"/>
    <mergeCell ref="A21:K21"/>
    <mergeCell ref="B32:D32"/>
    <mergeCell ref="B35:D35"/>
    <mergeCell ref="A2:K2"/>
    <mergeCell ref="B26:D26"/>
    <mergeCell ref="A242:K242"/>
    <mergeCell ref="A278:H278"/>
    <mergeCell ref="A307:K307"/>
    <mergeCell ref="B25:D25"/>
    <mergeCell ref="A202:K202"/>
    <mergeCell ref="A183:I184"/>
    <mergeCell ref="B72:D72"/>
    <mergeCell ref="A37:D37"/>
    <mergeCell ref="A122:K122"/>
    <mergeCell ref="A4:K4"/>
    <mergeCell ref="B66:D66"/>
    <mergeCell ref="A18:G18"/>
    <mergeCell ref="B31:D31"/>
    <mergeCell ref="A182:I182"/>
    <mergeCell ref="B71:D71"/>
    <mergeCell ref="A43:K43"/>
    <mergeCell ref="A303:I304"/>
    <mergeCell ref="B27:D27"/>
    <mergeCell ref="B70:D70"/>
    <mergeCell ref="A57:G57"/>
    <mergeCell ref="A76:D76"/>
    <mergeCell ref="A203:D20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2026-09-15T09:05:40Z</dcterms:created>
  <dcterms:modified xmlns:dcterms="http://purl.org/dc/terms/" xmlns:xsi="http://www.w3.org/2001/XMLSchema-instance" xsi:type="dcterms:W3CDTF">2026-09-15T09:17:18Z</dcterms:modified>
  <cp:revision>0</cp:revision>
</cp:coreProperties>
</file>