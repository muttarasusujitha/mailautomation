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4" authorId="0" shapeId="0">
      <text>
        <t>AWS Mumbai Linux t3.medium on-demand baseline.</t>
      </text>
    </comment>
    <comment ref="G5" authorId="0" shapeId="0">
      <text>
        <t>EKS standard Kubernetes version support.</t>
      </text>
    </comment>
    <comment ref="G6" authorId="0" shapeId="0">
      <text>
        <t>AWS Mumbai Linux t3.large on-demand baseline.</t>
      </text>
    </comment>
    <comment ref="G7" authorId="0" shapeId="0">
      <text>
        <t>gp3 EBS planning rate; confirm selected volume type.</t>
      </text>
    </comment>
    <comment ref="G8" authorId="0" shapeId="0">
      <text>
        <t>S3 Standard planning rate; confirm storage class.</t>
      </text>
    </comment>
    <comment ref="G9" authorId="0" shapeId="0">
      <text>
        <t>Internet egress planning rate.</t>
      </text>
    </comment>
    <comment ref="G10" authorId="0" shapeId="0">
      <text>
        <t>CodeBuild planning rate; confirm compute type.</t>
      </text>
    </comment>
    <comment ref="G11" authorId="0" shapeId="0">
      <text>
        <t>Unused unless a day mapping explicitly provisions a DB.</t>
      </text>
    </comment>
    <comment ref="G12" authorId="0" shapeId="0">
      <text>
        <t>CloudWatch ingestion planning rate.</t>
      </text>
    </comment>
    <comment ref="G31" authorId="0" shapeId="0">
      <text>
        <t>live SKU rate supplied</t>
      </text>
    </comment>
    <comment ref="G32" authorId="0" shapeId="0">
      <text>
        <t>live SKU rate supplied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DevOps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3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96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Live profile rates supplied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0.0448</v>
      </c>
      <c r="F4" s="90">
        <f>E4*'Assumptions'!$B$15</f>
        <v/>
      </c>
      <c r="G4" s="29" t="inlineStr">
        <is>
          <t>https://pricing.us-east-1.amazonaws.com/offers/v1.0/aws/AmazonEC2/current/region_index.json</t>
        </is>
      </c>
      <c r="H4" s="91" t="inlineStr">
        <is>
          <t>2026-09-06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2026-09-06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0.0896</v>
      </c>
      <c r="F6" s="90">
        <f>E6*'Assumptions'!$B$15</f>
        <v/>
      </c>
      <c r="G6" s="29" t="inlineStr">
        <is>
          <t>https://pricing.us-east-1.amazonaws.com/offers/v1.0/aws/AmazonEC2/current/region_index.json</t>
        </is>
      </c>
      <c r="H6" s="91" t="inlineStr">
        <is>
          <t>2026-09-06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0.096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2026-09-06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0.025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2026-09-06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</t>
        </is>
      </c>
      <c r="H9" s="91" t="inlineStr">
        <is>
          <t>2026-09-06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2026-09-06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2026-09-06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2026-09-06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0.0448</v>
      </c>
      <c r="F31" s="90">
        <f>E31*'Assumptions'!$B$15</f>
        <v/>
      </c>
      <c r="G31" s="29" t="inlineStr">
        <is>
          <t>https://pricing.us-east-1.amazonaws.com/offers/v1.0/aws/AmazonEC2/current/region_index.json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0.0896</v>
      </c>
      <c r="F32" s="90">
        <f>E32*'Assumptions'!$B$15</f>
        <v/>
      </c>
      <c r="G32" s="29" t="inlineStr">
        <is>
          <t>https://pricing.us-east-1.amazonaws.com/offers/v1.0/aws/AmazonEC2/current/region_index.json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DevOps Orientation, SDLC and Agile Delivery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Linux Fundamentals for DevOps</t>
        </is>
      </c>
      <c r="C5" t="n">
        <v>20</v>
      </c>
      <c r="D5" t="inlineStr">
        <is>
          <t>Light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Shell Scripting and Automation</t>
        </is>
      </c>
      <c r="C6" t="n">
        <v>20</v>
      </c>
      <c r="D6" t="inlineStr">
        <is>
          <t>Light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Networking, SSH and Web Basics</t>
        </is>
      </c>
      <c r="C7" t="n">
        <v>20</v>
      </c>
      <c r="D7" t="inlineStr">
        <is>
          <t>Light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Git and GitHub Collaboration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Build Tools and Artifact Management</t>
        </is>
      </c>
      <c r="C9" t="n">
        <v>1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Jenkins Fundamentals</t>
        </is>
      </c>
      <c r="C10" t="n">
        <v>1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Jenkins Pipeline as Code</t>
        </is>
      </c>
      <c r="C11" t="n">
        <v>1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GitHub Actions and GitLab CI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Docker Fundamentals</t>
        </is>
      </c>
      <c r="C13" t="n">
        <v>20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Docker Compose and Multi-Container Apps</t>
        </is>
      </c>
      <c r="C14" t="n">
        <v>20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Container Registry and Image Security</t>
        </is>
      </c>
      <c r="C15" t="n">
        <v>20</v>
      </c>
      <c r="D15" t="inlineStr">
        <is>
          <t>Heavy</t>
        </is>
      </c>
      <c r="E15" t="n">
        <v>0</v>
      </c>
      <c r="F15" t="n">
        <v>0</v>
      </c>
      <c r="G15" t="n">
        <v>0</v>
      </c>
      <c r="H15" t="n">
        <v>10</v>
      </c>
      <c r="I15" t="n">
        <v>1</v>
      </c>
    </row>
    <row r="16">
      <c r="A16" t="n">
        <v>13</v>
      </c>
      <c r="B16" t="inlineStr">
        <is>
          <t>Kubernetes Architecture</t>
        </is>
      </c>
      <c r="C16" t="n">
        <v>0</v>
      </c>
      <c r="D16" t="inlineStr">
        <is>
          <t>None</t>
        </is>
      </c>
      <c r="E16" t="n">
        <v>1</v>
      </c>
      <c r="F16" t="n">
        <v>3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Kubernetes Workloads and Services</t>
        </is>
      </c>
      <c r="C17" t="n">
        <v>0</v>
      </c>
      <c r="D17" t="inlineStr">
        <is>
          <t>None</t>
        </is>
      </c>
      <c r="E17" t="n">
        <v>1</v>
      </c>
      <c r="F17" t="n">
        <v>3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Kubernetes Storage, RBAC and Troubleshooting</t>
        </is>
      </c>
      <c r="C18" t="n">
        <v>0</v>
      </c>
      <c r="D18" t="inlineStr">
        <is>
          <t>None</t>
        </is>
      </c>
      <c r="E18" t="n">
        <v>1</v>
      </c>
      <c r="F18" t="n">
        <v>3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Helm Package Management</t>
        </is>
      </c>
      <c r="C19" t="n">
        <v>0</v>
      </c>
      <c r="D19" t="inlineStr">
        <is>
          <t>None</t>
        </is>
      </c>
      <c r="E19" t="n">
        <v>1</v>
      </c>
      <c r="F19" t="n">
        <v>3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AWS DevOps Foundations</t>
        </is>
      </c>
      <c r="C20" t="n">
        <v>20</v>
      </c>
      <c r="D20" t="inlineStr">
        <is>
          <t>Light</t>
        </is>
      </c>
      <c r="E20" t="n">
        <v>0</v>
      </c>
      <c r="F20" t="n">
        <v>0</v>
      </c>
      <c r="G20" t="n">
        <v>0</v>
      </c>
      <c r="H20" t="n">
        <v>10</v>
      </c>
      <c r="I20" t="n">
        <v>1</v>
      </c>
    </row>
    <row r="21">
      <c r="A21" t="n">
        <v>18</v>
      </c>
      <c r="B21" t="inlineStr">
        <is>
          <t>AWS CI/CD and Container Services</t>
        </is>
      </c>
      <c r="C21" t="n">
        <v>0</v>
      </c>
      <c r="D21" t="inlineStr">
        <is>
          <t>Heavy</t>
        </is>
      </c>
      <c r="E21" t="n">
        <v>1</v>
      </c>
      <c r="F21" t="n">
        <v>3</v>
      </c>
      <c r="G21" t="n">
        <v>0</v>
      </c>
      <c r="H21" t="n">
        <v>10</v>
      </c>
      <c r="I21" t="n">
        <v>1</v>
      </c>
    </row>
    <row r="22">
      <c r="A22" t="n">
        <v>19</v>
      </c>
      <c r="B22" t="inlineStr">
        <is>
          <t>Azure DevOps Foundations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Azure Pipelines and AKS</t>
        </is>
      </c>
      <c r="C23" t="n">
        <v>0</v>
      </c>
      <c r="D23" t="inlineStr">
        <is>
          <t>Heavy</t>
        </is>
      </c>
      <c r="E23" t="n">
        <v>1</v>
      </c>
      <c r="F23">
        <f>Assumptions!$B$14</f>
        <v/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Terraform Infrastructure as Code</t>
        </is>
      </c>
      <c r="C24" t="n">
        <v>0</v>
      </c>
      <c r="D24" t="inlineStr">
        <is>
          <t>Heavy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Terraform Modules and Environments</t>
        </is>
      </c>
      <c r="C25" t="n">
        <v>0</v>
      </c>
      <c r="D25" t="inlineStr">
        <is>
          <t>Heavy</t>
        </is>
      </c>
      <c r="E25" t="n">
        <v>0</v>
      </c>
      <c r="F25" t="n">
        <v>0</v>
      </c>
      <c r="G25" t="n">
        <v>0</v>
      </c>
      <c r="H25">
        <f>Assumptions!$B$10</f>
        <v/>
      </c>
      <c r="I25" t="n">
        <v>1</v>
      </c>
    </row>
    <row r="26">
      <c r="A26" t="n">
        <v>23</v>
      </c>
      <c r="B26" t="inlineStr">
        <is>
          <t>Ansible Configuration Management</t>
        </is>
      </c>
      <c r="C26" t="n">
        <v>20</v>
      </c>
      <c r="D26" t="inlineStr">
        <is>
          <t>Light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DevSecOps and Quality Gates</t>
        </is>
      </c>
      <c r="C27" t="n">
        <v>20</v>
      </c>
      <c r="D27" t="inlineStr">
        <is>
          <t>Heavy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Monitoring with Prometheus and Grafana</t>
        </is>
      </c>
      <c r="C28" t="n">
        <v>0</v>
      </c>
      <c r="D28" t="inlineStr">
        <is>
          <t>None</t>
        </is>
      </c>
      <c r="E28" t="n">
        <v>1</v>
      </c>
      <c r="F28" t="n">
        <v>3</v>
      </c>
      <c r="G28" t="n">
        <v>1</v>
      </c>
      <c r="H28" t="n">
        <v>0</v>
      </c>
      <c r="I28" t="n">
        <v>1</v>
      </c>
    </row>
    <row r="29">
      <c r="A29" t="n">
        <v>26</v>
      </c>
      <c r="B29" t="inlineStr">
        <is>
          <t>Logging with ELK and Centralized Observability</t>
        </is>
      </c>
      <c r="C29" t="n">
        <v>1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Release Management and Blue-Green Deployments</t>
        </is>
      </c>
      <c r="C30" t="n">
        <v>0</v>
      </c>
      <c r="D30" t="inlineStr">
        <is>
          <t>Heavy</t>
        </is>
      </c>
      <c r="E30" t="n">
        <v>1</v>
      </c>
      <c r="F30" t="n">
        <v>3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SRE Practices and Incident Management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End-to-End DevOps Project Sprint</t>
        </is>
      </c>
      <c r="C32" t="n">
        <v>0</v>
      </c>
      <c r="D32" t="inlineStr">
        <is>
          <t>Heavy</t>
        </is>
      </c>
      <c r="E32" t="n">
        <v>1</v>
      </c>
      <c r="F32" t="n">
        <v>3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Demo and Certification Roadmap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2026-09-06T16:12:28Z</dcterms:created>
  <dcterms:modified xmlns:dcterms="http://purl.org/dc/terms/" xmlns:xsi="http://www.w3.org/2001/XMLSchema-instance" xsi:type="dcterms:W3CDTF">2026-09-06T16:12:28Z</dcterms:modified>
</cp:coreProperties>
</file>